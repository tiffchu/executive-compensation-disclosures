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ffa\Downloads\"/>
    </mc:Choice>
  </mc:AlternateContent>
  <xr:revisionPtr revIDLastSave="0" documentId="13_ncr:1_{AAD75F97-A768-44FE-9FBE-57486BE6325C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G2" i="1" l="1"/>
  <c r="AG122" i="1"/>
  <c r="AD122" i="1"/>
  <c r="Z122" i="1"/>
  <c r="V122" i="1"/>
  <c r="R122" i="1"/>
  <c r="N122" i="1"/>
  <c r="J122" i="1"/>
  <c r="AG121" i="1"/>
  <c r="AD121" i="1"/>
  <c r="Z121" i="1"/>
  <c r="V121" i="1"/>
  <c r="R121" i="1"/>
  <c r="N121" i="1"/>
  <c r="J121" i="1"/>
  <c r="AG120" i="1"/>
  <c r="AD120" i="1"/>
  <c r="Z120" i="1"/>
  <c r="V120" i="1"/>
  <c r="R120" i="1"/>
  <c r="N120" i="1"/>
  <c r="J120" i="1"/>
  <c r="AG119" i="1"/>
  <c r="AD119" i="1"/>
  <c r="Z119" i="1"/>
  <c r="V119" i="1"/>
  <c r="R119" i="1"/>
  <c r="N119" i="1"/>
  <c r="J119" i="1"/>
  <c r="AG118" i="1"/>
  <c r="AD118" i="1"/>
  <c r="Z118" i="1"/>
  <c r="V118" i="1"/>
  <c r="R118" i="1"/>
  <c r="N118" i="1"/>
  <c r="J118" i="1"/>
  <c r="AG117" i="1"/>
  <c r="AD117" i="1"/>
  <c r="Z117" i="1"/>
  <c r="V117" i="1"/>
  <c r="R117" i="1"/>
  <c r="N117" i="1"/>
  <c r="J117" i="1"/>
  <c r="AG116" i="1"/>
  <c r="AD116" i="1"/>
  <c r="Z116" i="1"/>
  <c r="V116" i="1"/>
  <c r="R116" i="1"/>
  <c r="N116" i="1"/>
  <c r="J116" i="1"/>
  <c r="AG115" i="1"/>
  <c r="AD115" i="1"/>
  <c r="Z115" i="1"/>
  <c r="V115" i="1"/>
  <c r="R115" i="1"/>
  <c r="N115" i="1"/>
  <c r="J115" i="1"/>
  <c r="AG114" i="1"/>
  <c r="AD114" i="1"/>
  <c r="Z114" i="1"/>
  <c r="V114" i="1"/>
  <c r="R114" i="1"/>
  <c r="N114" i="1"/>
  <c r="J114" i="1"/>
  <c r="AG113" i="1"/>
  <c r="AD113" i="1"/>
  <c r="Z113" i="1"/>
  <c r="V113" i="1"/>
  <c r="R113" i="1"/>
  <c r="N113" i="1"/>
  <c r="J113" i="1"/>
  <c r="AG112" i="1"/>
  <c r="AD112" i="1"/>
  <c r="Z112" i="1"/>
  <c r="V112" i="1"/>
  <c r="R112" i="1"/>
  <c r="N112" i="1"/>
  <c r="J112" i="1"/>
  <c r="AG111" i="1"/>
  <c r="AD111" i="1"/>
  <c r="Z111" i="1"/>
  <c r="V111" i="1"/>
  <c r="R111" i="1"/>
  <c r="N111" i="1"/>
  <c r="J111" i="1"/>
  <c r="AG110" i="1"/>
  <c r="AD110" i="1"/>
  <c r="Z110" i="1"/>
  <c r="V110" i="1"/>
  <c r="R110" i="1"/>
  <c r="N110" i="1"/>
  <c r="J110" i="1"/>
  <c r="AG109" i="1"/>
  <c r="AD109" i="1"/>
  <c r="Z109" i="1"/>
  <c r="V109" i="1"/>
  <c r="R109" i="1"/>
  <c r="N109" i="1"/>
  <c r="J109" i="1"/>
  <c r="AG108" i="1"/>
  <c r="AD108" i="1"/>
  <c r="Z108" i="1"/>
  <c r="V108" i="1"/>
  <c r="R108" i="1"/>
  <c r="N108" i="1"/>
  <c r="J108" i="1"/>
  <c r="AG107" i="1"/>
  <c r="AD107" i="1"/>
  <c r="Z107" i="1"/>
  <c r="V107" i="1"/>
  <c r="R107" i="1"/>
  <c r="N107" i="1"/>
  <c r="J107" i="1"/>
  <c r="AG106" i="1"/>
  <c r="AD106" i="1"/>
  <c r="Z106" i="1"/>
  <c r="V106" i="1"/>
  <c r="R106" i="1"/>
  <c r="N106" i="1"/>
  <c r="J106" i="1"/>
  <c r="AG105" i="1"/>
  <c r="AD105" i="1"/>
  <c r="Z105" i="1"/>
  <c r="V105" i="1"/>
  <c r="R105" i="1"/>
  <c r="N105" i="1"/>
  <c r="J105" i="1"/>
  <c r="AG104" i="1"/>
  <c r="AD104" i="1"/>
  <c r="Z104" i="1"/>
  <c r="V104" i="1"/>
  <c r="R104" i="1"/>
  <c r="N104" i="1"/>
  <c r="J104" i="1"/>
  <c r="AG103" i="1"/>
  <c r="AD103" i="1"/>
  <c r="Z103" i="1"/>
  <c r="V103" i="1"/>
  <c r="R103" i="1"/>
  <c r="N103" i="1"/>
  <c r="J103" i="1"/>
  <c r="AG102" i="1"/>
  <c r="AD102" i="1"/>
  <c r="Z102" i="1"/>
  <c r="V102" i="1"/>
  <c r="R102" i="1"/>
  <c r="N102" i="1"/>
  <c r="J102" i="1"/>
  <c r="AG101" i="1"/>
  <c r="AD101" i="1"/>
  <c r="Z101" i="1"/>
  <c r="V101" i="1"/>
  <c r="R101" i="1"/>
  <c r="N101" i="1"/>
  <c r="J101" i="1"/>
  <c r="AG100" i="1"/>
  <c r="AD100" i="1"/>
  <c r="Z100" i="1"/>
  <c r="V100" i="1"/>
  <c r="R100" i="1"/>
  <c r="N100" i="1"/>
  <c r="J100" i="1"/>
  <c r="AG99" i="1"/>
  <c r="AD99" i="1"/>
  <c r="Z99" i="1"/>
  <c r="V99" i="1"/>
  <c r="R99" i="1"/>
  <c r="N99" i="1"/>
  <c r="J99" i="1"/>
  <c r="AG98" i="1"/>
  <c r="AD98" i="1"/>
  <c r="Z98" i="1"/>
  <c r="V98" i="1"/>
  <c r="R98" i="1"/>
  <c r="N98" i="1"/>
  <c r="J98" i="1"/>
  <c r="AG97" i="1"/>
  <c r="AD97" i="1"/>
  <c r="Z97" i="1"/>
  <c r="V97" i="1"/>
  <c r="R97" i="1"/>
  <c r="N97" i="1"/>
  <c r="J97" i="1"/>
  <c r="AG96" i="1"/>
  <c r="AD96" i="1"/>
  <c r="Z96" i="1"/>
  <c r="V96" i="1"/>
  <c r="R96" i="1"/>
  <c r="N96" i="1"/>
  <c r="J96" i="1"/>
  <c r="AG95" i="1"/>
  <c r="AD95" i="1"/>
  <c r="Z95" i="1"/>
  <c r="V95" i="1"/>
  <c r="R95" i="1"/>
  <c r="N95" i="1"/>
  <c r="J95" i="1"/>
  <c r="AG94" i="1"/>
  <c r="AD94" i="1"/>
  <c r="Z94" i="1"/>
  <c r="V94" i="1"/>
  <c r="R94" i="1"/>
  <c r="N94" i="1"/>
  <c r="J94" i="1"/>
  <c r="AG93" i="1"/>
  <c r="AD93" i="1"/>
  <c r="Z93" i="1"/>
  <c r="V93" i="1"/>
  <c r="R93" i="1"/>
  <c r="N93" i="1"/>
  <c r="J93" i="1"/>
  <c r="AG92" i="1"/>
  <c r="AD92" i="1"/>
  <c r="Z92" i="1"/>
  <c r="V92" i="1"/>
  <c r="R92" i="1"/>
  <c r="N92" i="1"/>
  <c r="J92" i="1"/>
  <c r="AG91" i="1"/>
  <c r="AD91" i="1"/>
  <c r="Z91" i="1"/>
  <c r="V91" i="1"/>
  <c r="R91" i="1"/>
  <c r="N91" i="1"/>
  <c r="J91" i="1"/>
  <c r="AG90" i="1"/>
  <c r="AD90" i="1"/>
  <c r="Z90" i="1"/>
  <c r="V90" i="1"/>
  <c r="R90" i="1"/>
  <c r="N90" i="1"/>
  <c r="J90" i="1"/>
  <c r="AG89" i="1"/>
  <c r="AD89" i="1"/>
  <c r="Z89" i="1"/>
  <c r="V89" i="1"/>
  <c r="R89" i="1"/>
  <c r="N89" i="1"/>
  <c r="J89" i="1"/>
  <c r="AG88" i="1"/>
  <c r="AD88" i="1"/>
  <c r="Z88" i="1"/>
  <c r="V88" i="1"/>
  <c r="R88" i="1"/>
  <c r="N88" i="1"/>
  <c r="J88" i="1"/>
  <c r="AG87" i="1"/>
  <c r="AD87" i="1"/>
  <c r="Z87" i="1"/>
  <c r="V87" i="1"/>
  <c r="R87" i="1"/>
  <c r="N87" i="1"/>
  <c r="J87" i="1"/>
  <c r="AG86" i="1"/>
  <c r="AD86" i="1"/>
  <c r="Z86" i="1"/>
  <c r="V86" i="1"/>
  <c r="R86" i="1"/>
  <c r="N86" i="1"/>
  <c r="J86" i="1"/>
  <c r="AG85" i="1"/>
  <c r="AD85" i="1"/>
  <c r="Z85" i="1"/>
  <c r="V85" i="1"/>
  <c r="R85" i="1"/>
  <c r="N85" i="1"/>
  <c r="J85" i="1"/>
  <c r="AG84" i="1"/>
  <c r="AD84" i="1"/>
  <c r="Z84" i="1"/>
  <c r="V84" i="1"/>
  <c r="R84" i="1"/>
  <c r="N84" i="1"/>
  <c r="J84" i="1"/>
  <c r="AG83" i="1"/>
  <c r="AD83" i="1"/>
  <c r="Z83" i="1"/>
  <c r="V83" i="1"/>
  <c r="R83" i="1"/>
  <c r="N83" i="1"/>
  <c r="J83" i="1"/>
  <c r="AG82" i="1"/>
  <c r="AD82" i="1"/>
  <c r="Z82" i="1"/>
  <c r="V82" i="1"/>
  <c r="R82" i="1"/>
  <c r="N82" i="1"/>
  <c r="J82" i="1"/>
  <c r="AG81" i="1"/>
  <c r="AD81" i="1"/>
  <c r="Z81" i="1"/>
  <c r="V81" i="1"/>
  <c r="R81" i="1"/>
  <c r="N81" i="1"/>
  <c r="J81" i="1"/>
  <c r="AG80" i="1"/>
  <c r="AD80" i="1"/>
  <c r="Z80" i="1"/>
  <c r="V80" i="1"/>
  <c r="R80" i="1"/>
  <c r="N80" i="1"/>
  <c r="J80" i="1"/>
  <c r="AG79" i="1"/>
  <c r="AD79" i="1"/>
  <c r="Z79" i="1"/>
  <c r="V79" i="1"/>
  <c r="R79" i="1"/>
  <c r="N79" i="1"/>
  <c r="J79" i="1"/>
  <c r="AG78" i="1"/>
  <c r="AD78" i="1"/>
  <c r="Z78" i="1"/>
  <c r="V78" i="1"/>
  <c r="R78" i="1"/>
  <c r="N78" i="1"/>
  <c r="J78" i="1"/>
  <c r="AG77" i="1"/>
  <c r="AD77" i="1"/>
  <c r="Z77" i="1"/>
  <c r="V77" i="1"/>
  <c r="R77" i="1"/>
  <c r="N77" i="1"/>
  <c r="J77" i="1"/>
  <c r="AG76" i="1"/>
  <c r="AD76" i="1"/>
  <c r="Z76" i="1"/>
  <c r="V76" i="1"/>
  <c r="R76" i="1"/>
  <c r="N76" i="1"/>
  <c r="J76" i="1"/>
  <c r="AG75" i="1"/>
  <c r="AD75" i="1"/>
  <c r="Z75" i="1"/>
  <c r="V75" i="1"/>
  <c r="R75" i="1"/>
  <c r="N75" i="1"/>
  <c r="J75" i="1"/>
  <c r="AG74" i="1"/>
  <c r="AD74" i="1"/>
  <c r="Z74" i="1"/>
  <c r="V74" i="1"/>
  <c r="R74" i="1"/>
  <c r="N74" i="1"/>
  <c r="J74" i="1"/>
  <c r="AG73" i="1"/>
  <c r="AD73" i="1"/>
  <c r="Z73" i="1"/>
  <c r="V73" i="1"/>
  <c r="R73" i="1"/>
  <c r="N73" i="1"/>
  <c r="J73" i="1"/>
  <c r="AG72" i="1"/>
  <c r="AD72" i="1"/>
  <c r="Z72" i="1"/>
  <c r="V72" i="1"/>
  <c r="R72" i="1"/>
  <c r="N72" i="1"/>
  <c r="J72" i="1"/>
  <c r="AG71" i="1"/>
  <c r="AD71" i="1"/>
  <c r="Z71" i="1"/>
  <c r="V71" i="1"/>
  <c r="R71" i="1"/>
  <c r="N71" i="1"/>
  <c r="J71" i="1"/>
  <c r="AG70" i="1"/>
  <c r="AD70" i="1"/>
  <c r="Z70" i="1"/>
  <c r="V70" i="1"/>
  <c r="R70" i="1"/>
  <c r="N70" i="1"/>
  <c r="J70" i="1"/>
  <c r="AG69" i="1"/>
  <c r="AD69" i="1"/>
  <c r="Z69" i="1"/>
  <c r="V69" i="1"/>
  <c r="R69" i="1"/>
  <c r="N69" i="1"/>
  <c r="J69" i="1"/>
  <c r="AG68" i="1"/>
  <c r="AD68" i="1"/>
  <c r="Z68" i="1"/>
  <c r="V68" i="1"/>
  <c r="R68" i="1"/>
  <c r="N68" i="1"/>
  <c r="J68" i="1"/>
  <c r="AG67" i="1"/>
  <c r="AD67" i="1"/>
  <c r="Z67" i="1"/>
  <c r="V67" i="1"/>
  <c r="R67" i="1"/>
  <c r="N67" i="1"/>
  <c r="J67" i="1"/>
  <c r="AG66" i="1"/>
  <c r="AD66" i="1"/>
  <c r="Z66" i="1"/>
  <c r="V66" i="1"/>
  <c r="R66" i="1"/>
  <c r="N66" i="1"/>
  <c r="J66" i="1"/>
  <c r="AG65" i="1"/>
  <c r="AD65" i="1"/>
  <c r="Z65" i="1"/>
  <c r="V65" i="1"/>
  <c r="R65" i="1"/>
  <c r="N65" i="1"/>
  <c r="J65" i="1"/>
  <c r="AG64" i="1"/>
  <c r="AD64" i="1"/>
  <c r="Z64" i="1"/>
  <c r="V64" i="1"/>
  <c r="R64" i="1"/>
  <c r="N64" i="1"/>
  <c r="J64" i="1"/>
  <c r="AG63" i="1"/>
  <c r="AD63" i="1"/>
  <c r="Z63" i="1"/>
  <c r="V63" i="1"/>
  <c r="R63" i="1"/>
  <c r="N63" i="1"/>
  <c r="J63" i="1"/>
  <c r="AG62" i="1"/>
  <c r="AD62" i="1"/>
  <c r="Z62" i="1"/>
  <c r="V62" i="1"/>
  <c r="R62" i="1"/>
  <c r="N62" i="1"/>
  <c r="J62" i="1"/>
  <c r="AG61" i="1"/>
  <c r="AD61" i="1"/>
  <c r="Z61" i="1"/>
  <c r="V61" i="1"/>
  <c r="R61" i="1"/>
  <c r="N61" i="1"/>
  <c r="J61" i="1"/>
  <c r="AG60" i="1"/>
  <c r="AD60" i="1"/>
  <c r="Z60" i="1"/>
  <c r="V60" i="1"/>
  <c r="R60" i="1"/>
  <c r="N60" i="1"/>
  <c r="J60" i="1"/>
  <c r="AG59" i="1"/>
  <c r="AD59" i="1"/>
  <c r="Z59" i="1"/>
  <c r="V59" i="1"/>
  <c r="R59" i="1"/>
  <c r="N59" i="1"/>
  <c r="J59" i="1"/>
  <c r="AG58" i="1"/>
  <c r="AD58" i="1"/>
  <c r="Z58" i="1"/>
  <c r="V58" i="1"/>
  <c r="R58" i="1"/>
  <c r="N58" i="1"/>
  <c r="J58" i="1"/>
  <c r="AG57" i="1"/>
  <c r="AD57" i="1"/>
  <c r="Z57" i="1"/>
  <c r="V57" i="1"/>
  <c r="R57" i="1"/>
  <c r="N57" i="1"/>
  <c r="J57" i="1"/>
  <c r="AG56" i="1"/>
  <c r="AD56" i="1"/>
  <c r="Z56" i="1"/>
  <c r="V56" i="1"/>
  <c r="R56" i="1"/>
  <c r="N56" i="1"/>
  <c r="J56" i="1"/>
  <c r="AG55" i="1"/>
  <c r="AD55" i="1"/>
  <c r="Z55" i="1"/>
  <c r="V55" i="1"/>
  <c r="R55" i="1"/>
  <c r="N55" i="1"/>
  <c r="J55" i="1"/>
  <c r="AG54" i="1"/>
  <c r="AD54" i="1"/>
  <c r="Z54" i="1"/>
  <c r="V54" i="1"/>
  <c r="R54" i="1"/>
  <c r="N54" i="1"/>
  <c r="J54" i="1"/>
  <c r="AG53" i="1"/>
  <c r="AD53" i="1"/>
  <c r="Z53" i="1"/>
  <c r="V53" i="1"/>
  <c r="R53" i="1"/>
  <c r="N53" i="1"/>
  <c r="J53" i="1"/>
  <c r="AG52" i="1"/>
  <c r="AD52" i="1"/>
  <c r="Z52" i="1"/>
  <c r="V52" i="1"/>
  <c r="R52" i="1"/>
  <c r="N52" i="1"/>
  <c r="J52" i="1"/>
  <c r="AG51" i="1"/>
  <c r="AD51" i="1"/>
  <c r="Z51" i="1"/>
  <c r="V51" i="1"/>
  <c r="R51" i="1"/>
  <c r="N51" i="1"/>
  <c r="J51" i="1"/>
  <c r="AG50" i="1"/>
  <c r="AD50" i="1"/>
  <c r="Z50" i="1"/>
  <c r="V50" i="1"/>
  <c r="R50" i="1"/>
  <c r="N50" i="1"/>
  <c r="J50" i="1"/>
  <c r="AG49" i="1"/>
  <c r="AD49" i="1"/>
  <c r="Z49" i="1"/>
  <c r="V49" i="1"/>
  <c r="R49" i="1"/>
  <c r="N49" i="1"/>
  <c r="J49" i="1"/>
  <c r="AG48" i="1"/>
  <c r="AD48" i="1"/>
  <c r="Z48" i="1"/>
  <c r="V48" i="1"/>
  <c r="R48" i="1"/>
  <c r="N48" i="1"/>
  <c r="J48" i="1"/>
  <c r="AG47" i="1"/>
  <c r="AD47" i="1"/>
  <c r="Z47" i="1"/>
  <c r="V47" i="1"/>
  <c r="R47" i="1"/>
  <c r="N47" i="1"/>
  <c r="J47" i="1"/>
  <c r="AG46" i="1"/>
  <c r="AD46" i="1"/>
  <c r="Z46" i="1"/>
  <c r="V46" i="1"/>
  <c r="R46" i="1"/>
  <c r="N46" i="1"/>
  <c r="J46" i="1"/>
  <c r="AG45" i="1"/>
  <c r="AD45" i="1"/>
  <c r="Z45" i="1"/>
  <c r="V45" i="1"/>
  <c r="R45" i="1"/>
  <c r="N45" i="1"/>
  <c r="J45" i="1"/>
  <c r="AG44" i="1"/>
  <c r="AD44" i="1"/>
  <c r="Z44" i="1"/>
  <c r="V44" i="1"/>
  <c r="R44" i="1"/>
  <c r="N44" i="1"/>
  <c r="J44" i="1"/>
  <c r="AG43" i="1"/>
  <c r="AD43" i="1"/>
  <c r="Z43" i="1"/>
  <c r="V43" i="1"/>
  <c r="R43" i="1"/>
  <c r="N43" i="1"/>
  <c r="J43" i="1"/>
  <c r="AG42" i="1"/>
  <c r="AD42" i="1"/>
  <c r="Z42" i="1"/>
  <c r="V42" i="1"/>
  <c r="R42" i="1"/>
  <c r="N42" i="1"/>
  <c r="J42" i="1"/>
  <c r="AG41" i="1"/>
  <c r="AD41" i="1"/>
  <c r="Z41" i="1"/>
  <c r="V41" i="1"/>
  <c r="R41" i="1"/>
  <c r="N41" i="1"/>
  <c r="J41" i="1"/>
  <c r="AG40" i="1"/>
  <c r="AD40" i="1"/>
  <c r="Z40" i="1"/>
  <c r="V40" i="1"/>
  <c r="R40" i="1"/>
  <c r="N40" i="1"/>
  <c r="J40" i="1"/>
  <c r="AG39" i="1"/>
  <c r="AD39" i="1"/>
  <c r="Z39" i="1"/>
  <c r="V39" i="1"/>
  <c r="R39" i="1"/>
  <c r="N39" i="1"/>
  <c r="J39" i="1"/>
  <c r="AG38" i="1"/>
  <c r="AD38" i="1"/>
  <c r="Z38" i="1"/>
  <c r="V38" i="1"/>
  <c r="R38" i="1"/>
  <c r="N38" i="1"/>
  <c r="J38" i="1"/>
  <c r="AG37" i="1"/>
  <c r="AD37" i="1"/>
  <c r="Z37" i="1"/>
  <c r="V37" i="1"/>
  <c r="R37" i="1"/>
  <c r="N37" i="1"/>
  <c r="J37" i="1"/>
  <c r="AG36" i="1"/>
  <c r="AD36" i="1"/>
  <c r="Z36" i="1"/>
  <c r="V36" i="1"/>
  <c r="R36" i="1"/>
  <c r="N36" i="1"/>
  <c r="J36" i="1"/>
  <c r="AG35" i="1"/>
  <c r="AD35" i="1"/>
  <c r="Z35" i="1"/>
  <c r="V35" i="1"/>
  <c r="R35" i="1"/>
  <c r="N35" i="1"/>
  <c r="J35" i="1"/>
  <c r="AG34" i="1"/>
  <c r="AD34" i="1"/>
  <c r="Z34" i="1"/>
  <c r="V34" i="1"/>
  <c r="R34" i="1"/>
  <c r="N34" i="1"/>
  <c r="J34" i="1"/>
  <c r="AG33" i="1"/>
  <c r="AD33" i="1"/>
  <c r="Z33" i="1"/>
  <c r="V33" i="1"/>
  <c r="R33" i="1"/>
  <c r="N33" i="1"/>
  <c r="J33" i="1"/>
  <c r="AG32" i="1"/>
  <c r="AD32" i="1"/>
  <c r="Z32" i="1"/>
  <c r="V32" i="1"/>
  <c r="R32" i="1"/>
  <c r="N32" i="1"/>
  <c r="J32" i="1"/>
  <c r="AG31" i="1"/>
  <c r="AD31" i="1"/>
  <c r="Z31" i="1"/>
  <c r="V31" i="1"/>
  <c r="R31" i="1"/>
  <c r="N31" i="1"/>
  <c r="J31" i="1"/>
  <c r="AG30" i="1"/>
  <c r="AD30" i="1"/>
  <c r="Z30" i="1"/>
  <c r="V30" i="1"/>
  <c r="R30" i="1"/>
  <c r="N30" i="1"/>
  <c r="J30" i="1"/>
  <c r="AG29" i="1"/>
  <c r="AD29" i="1"/>
  <c r="Z29" i="1"/>
  <c r="V29" i="1"/>
  <c r="R29" i="1"/>
  <c r="N29" i="1"/>
  <c r="J29" i="1"/>
  <c r="AG28" i="1"/>
  <c r="AD28" i="1"/>
  <c r="Z28" i="1"/>
  <c r="V28" i="1"/>
  <c r="R28" i="1"/>
  <c r="N28" i="1"/>
  <c r="J28" i="1"/>
  <c r="AG27" i="1"/>
  <c r="AD27" i="1"/>
  <c r="Z27" i="1"/>
  <c r="V27" i="1"/>
  <c r="R27" i="1"/>
  <c r="N27" i="1"/>
  <c r="J27" i="1"/>
  <c r="AG26" i="1"/>
  <c r="AD26" i="1"/>
  <c r="Z26" i="1"/>
  <c r="V26" i="1"/>
  <c r="R26" i="1"/>
  <c r="N26" i="1"/>
  <c r="J26" i="1"/>
  <c r="AG25" i="1"/>
  <c r="AD25" i="1"/>
  <c r="Z25" i="1"/>
  <c r="V25" i="1"/>
  <c r="R25" i="1"/>
  <c r="N25" i="1"/>
  <c r="J25" i="1"/>
  <c r="AG24" i="1"/>
  <c r="AD24" i="1"/>
  <c r="Z24" i="1"/>
  <c r="V24" i="1"/>
  <c r="R24" i="1"/>
  <c r="N24" i="1"/>
  <c r="J24" i="1"/>
  <c r="AG23" i="1"/>
  <c r="AD23" i="1"/>
  <c r="Z23" i="1"/>
  <c r="V23" i="1"/>
  <c r="R23" i="1"/>
  <c r="N23" i="1"/>
  <c r="J23" i="1"/>
  <c r="AG22" i="1"/>
  <c r="AD22" i="1"/>
  <c r="Z22" i="1"/>
  <c r="V22" i="1"/>
  <c r="R22" i="1"/>
  <c r="N22" i="1"/>
  <c r="J22" i="1"/>
  <c r="AG21" i="1"/>
  <c r="AD21" i="1"/>
  <c r="Z21" i="1"/>
  <c r="V21" i="1"/>
  <c r="R21" i="1"/>
  <c r="N21" i="1"/>
  <c r="J21" i="1"/>
  <c r="AG20" i="1"/>
  <c r="AD20" i="1"/>
  <c r="Z20" i="1"/>
  <c r="V20" i="1"/>
  <c r="R20" i="1"/>
  <c r="N20" i="1"/>
  <c r="J20" i="1"/>
  <c r="AG19" i="1"/>
  <c r="AD19" i="1"/>
  <c r="Z19" i="1"/>
  <c r="V19" i="1"/>
  <c r="R19" i="1"/>
  <c r="N19" i="1"/>
  <c r="J19" i="1"/>
  <c r="AG18" i="1"/>
  <c r="AD18" i="1"/>
  <c r="Z18" i="1"/>
  <c r="V18" i="1"/>
  <c r="R18" i="1"/>
  <c r="N18" i="1"/>
  <c r="J18" i="1"/>
  <c r="AG17" i="1"/>
  <c r="AD17" i="1"/>
  <c r="Z17" i="1"/>
  <c r="V17" i="1"/>
  <c r="R17" i="1"/>
  <c r="N17" i="1"/>
  <c r="J17" i="1"/>
  <c r="AG16" i="1"/>
  <c r="AD16" i="1"/>
  <c r="Z16" i="1"/>
  <c r="V16" i="1"/>
  <c r="R16" i="1"/>
  <c r="N16" i="1"/>
  <c r="J16" i="1"/>
  <c r="AG15" i="1"/>
  <c r="AD15" i="1"/>
  <c r="Z15" i="1"/>
  <c r="V15" i="1"/>
  <c r="R15" i="1"/>
  <c r="N15" i="1"/>
  <c r="J15" i="1"/>
  <c r="AG14" i="1"/>
  <c r="AD14" i="1"/>
  <c r="Z14" i="1"/>
  <c r="V14" i="1"/>
  <c r="R14" i="1"/>
  <c r="N14" i="1"/>
  <c r="J14" i="1"/>
  <c r="AG13" i="1"/>
  <c r="AD13" i="1"/>
  <c r="Z13" i="1"/>
  <c r="V13" i="1"/>
  <c r="R13" i="1"/>
  <c r="N13" i="1"/>
  <c r="J13" i="1"/>
  <c r="AG12" i="1"/>
  <c r="AD12" i="1"/>
  <c r="Z12" i="1"/>
  <c r="V12" i="1"/>
  <c r="R12" i="1"/>
  <c r="N12" i="1"/>
  <c r="J12" i="1"/>
  <c r="AG11" i="1"/>
  <c r="AD11" i="1"/>
  <c r="Z11" i="1"/>
  <c r="V11" i="1"/>
  <c r="R11" i="1"/>
  <c r="N11" i="1"/>
  <c r="J11" i="1"/>
  <c r="AG10" i="1"/>
  <c r="AD10" i="1"/>
  <c r="Z10" i="1"/>
  <c r="V10" i="1"/>
  <c r="R10" i="1"/>
  <c r="N10" i="1"/>
  <c r="J10" i="1"/>
  <c r="AG9" i="1"/>
  <c r="AD9" i="1"/>
  <c r="Z9" i="1"/>
  <c r="V9" i="1"/>
  <c r="R9" i="1"/>
  <c r="N9" i="1"/>
  <c r="J9" i="1"/>
  <c r="AG8" i="1"/>
  <c r="AD8" i="1"/>
  <c r="Z8" i="1"/>
  <c r="V8" i="1"/>
  <c r="R8" i="1"/>
  <c r="N8" i="1"/>
  <c r="J8" i="1"/>
  <c r="AG7" i="1"/>
  <c r="AD7" i="1"/>
  <c r="Z7" i="1"/>
  <c r="V7" i="1"/>
  <c r="R7" i="1"/>
  <c r="N7" i="1"/>
  <c r="J7" i="1"/>
  <c r="AG6" i="1"/>
  <c r="AD6" i="1"/>
  <c r="Z6" i="1"/>
  <c r="V6" i="1"/>
  <c r="R6" i="1"/>
  <c r="N6" i="1"/>
  <c r="J6" i="1"/>
  <c r="AG5" i="1"/>
  <c r="AD5" i="1"/>
  <c r="Z5" i="1"/>
  <c r="V5" i="1"/>
  <c r="R5" i="1"/>
  <c r="N5" i="1"/>
  <c r="J5" i="1"/>
  <c r="AG4" i="1"/>
  <c r="AD4" i="1"/>
  <c r="Z4" i="1"/>
  <c r="V4" i="1"/>
  <c r="R4" i="1"/>
  <c r="N4" i="1"/>
  <c r="J4" i="1"/>
  <c r="AG3" i="1"/>
  <c r="AD3" i="1"/>
  <c r="Z3" i="1"/>
  <c r="V3" i="1"/>
  <c r="R3" i="1"/>
  <c r="N3" i="1"/>
  <c r="J3" i="1"/>
  <c r="AD2" i="1"/>
  <c r="Z2" i="1"/>
  <c r="V2" i="1"/>
  <c r="R2" i="1"/>
  <c r="N2" i="1"/>
  <c r="J2" i="1"/>
</calcChain>
</file>

<file path=xl/sharedStrings.xml><?xml version="1.0" encoding="utf-8"?>
<sst xmlns="http://schemas.openxmlformats.org/spreadsheetml/2006/main" count="1568" uniqueCount="1109">
  <si>
    <t>First Name</t>
  </si>
  <si>
    <t>Last Name</t>
  </si>
  <si>
    <t>Personal email</t>
  </si>
  <si>
    <t>company net income</t>
  </si>
  <si>
    <t xml:space="preserve">Company </t>
  </si>
  <si>
    <t>title</t>
  </si>
  <si>
    <t>Industry sector - person</t>
  </si>
  <si>
    <t>Sal2025 USD</t>
  </si>
  <si>
    <t>Sal2024 USD</t>
  </si>
  <si>
    <t>Salary 2025 CDN$:</t>
  </si>
  <si>
    <t>Salary 2024 CDN$:</t>
  </si>
  <si>
    <t>Shar2025 USD</t>
  </si>
  <si>
    <t>Shar2024 USD</t>
  </si>
  <si>
    <t>Share based awards 2025 CDN$:</t>
  </si>
  <si>
    <t>Share based awards 2024 CDN$:</t>
  </si>
  <si>
    <t>OPT2025 USD</t>
  </si>
  <si>
    <t>OPT2024 USD</t>
  </si>
  <si>
    <t>Option Awards 2025 CDN$:</t>
  </si>
  <si>
    <t>Option Awards 2024 CDN$:</t>
  </si>
  <si>
    <t>Bon2025 USD</t>
  </si>
  <si>
    <t>Bon2024 USD</t>
  </si>
  <si>
    <t>Bonus 2025 CDN$:</t>
  </si>
  <si>
    <t>Bonus 2024 CDN$:</t>
  </si>
  <si>
    <t>Pen2025 USD</t>
  </si>
  <si>
    <t>Pen2024 USD</t>
  </si>
  <si>
    <t>Pension value 2025 CDN$:</t>
  </si>
  <si>
    <t>Pension value 2024 CDN$:</t>
  </si>
  <si>
    <t>Oth2025 USD</t>
  </si>
  <si>
    <t>Oth2024 USD</t>
  </si>
  <si>
    <t>Other comp 2025 CDN$:</t>
  </si>
  <si>
    <t>Other comp 2024 CDN$:</t>
  </si>
  <si>
    <t>Total comp USD upload 2025</t>
  </si>
  <si>
    <t>Total comp CAD upload 2025</t>
  </si>
  <si>
    <t>Total comp USD upload 2024</t>
  </si>
  <si>
    <t>Total comp CAD upload 2024</t>
  </si>
  <si>
    <t>stock</t>
  </si>
  <si>
    <t>Darren</t>
  </si>
  <si>
    <t>Entwistle</t>
  </si>
  <si>
    <t>ir@telus.com</t>
  </si>
  <si>
    <t>938000000</t>
  </si>
  <si>
    <t>Telus Corp</t>
  </si>
  <si>
    <t>president and CEO</t>
  </si>
  <si>
    <t>Telecommunications</t>
  </si>
  <si>
    <t>1600000</t>
  </si>
  <si>
    <t>16,003,897</t>
  </si>
  <si>
    <t>1,187,200</t>
  </si>
  <si>
    <t>1,683,000</t>
  </si>
  <si>
    <t>142,211</t>
  </si>
  <si>
    <t>20,616,308</t>
  </si>
  <si>
    <t>TSX:T; NYSE:TU</t>
  </si>
  <si>
    <t>Leigh</t>
  </si>
  <si>
    <t>Curyer</t>
  </si>
  <si>
    <t>-77,559,000</t>
  </si>
  <si>
    <t>NexGen Energy Ltd</t>
  </si>
  <si>
    <t xml:space="preserve">Exploration and development company </t>
  </si>
  <si>
    <t>900,000</t>
  </si>
  <si>
    <t>0</t>
  </si>
  <si>
    <t>11,295,000</t>
  </si>
  <si>
    <t>1,771,200</t>
  </si>
  <si>
    <t>13,966,200</t>
  </si>
  <si>
    <t>Ian</t>
  </si>
  <si>
    <t>Mortimer</t>
  </si>
  <si>
    <t>-320,985</t>
  </si>
  <si>
    <t>Xenon Pharmaceuticals Inc</t>
  </si>
  <si>
    <t>Pharmaceuticals</t>
  </si>
  <si>
    <t>714,589</t>
  </si>
  <si>
    <t>887,400</t>
  </si>
  <si>
    <t>7,723,659</t>
  </si>
  <si>
    <t>425,425</t>
  </si>
  <si>
    <t>44,274</t>
  </si>
  <si>
    <t>60646.5252</t>
  </si>
  <si>
    <t>9,795,347</t>
  </si>
  <si>
    <t>13417666.32</t>
  </si>
  <si>
    <t>Nasdaq:XENE</t>
  </si>
  <si>
    <t>Andrea</t>
  </si>
  <si>
    <t>DiFabio</t>
  </si>
  <si>
    <t>chief legal officier and corporate secretary</t>
  </si>
  <si>
    <t>490,000</t>
  </si>
  <si>
    <t>332,775</t>
  </si>
  <si>
    <t>3,089,463</t>
  </si>
  <si>
    <t>166,600</t>
  </si>
  <si>
    <t>25,652</t>
  </si>
  <si>
    <t>35138.1096</t>
  </si>
  <si>
    <t>4,104,490</t>
  </si>
  <si>
    <t>5622330.402</t>
  </si>
  <si>
    <t>Christopher</t>
  </si>
  <si>
    <t>Kenney</t>
  </si>
  <si>
    <t>chief medical officer</t>
  </si>
  <si>
    <t>540,000</t>
  </si>
  <si>
    <t>206,550</t>
  </si>
  <si>
    <t>28,152</t>
  </si>
  <si>
    <t>38562.6096</t>
  </si>
  <si>
    <t>4,196,940</t>
  </si>
  <si>
    <t>5748968.412</t>
  </si>
  <si>
    <t>Von Seggern</t>
  </si>
  <si>
    <t>chief commercial officer</t>
  </si>
  <si>
    <t>480,000</t>
  </si>
  <si>
    <t>163,200</t>
  </si>
  <si>
    <t>25,152</t>
  </si>
  <si>
    <t>34453.2096</t>
  </si>
  <si>
    <t>4,090,590</t>
  </si>
  <si>
    <t>5603290.182</t>
  </si>
  <si>
    <t>Jonathan</t>
  </si>
  <si>
    <t>Price</t>
  </si>
  <si>
    <t>1550000000</t>
  </si>
  <si>
    <t>Teck Resources Ltd</t>
  </si>
  <si>
    <t>CEO</t>
  </si>
  <si>
    <t>1,610,000</t>
  </si>
  <si>
    <t>5,250,300</t>
  </si>
  <si>
    <t>2,614,650</t>
  </si>
  <si>
    <t>209,300</t>
  </si>
  <si>
    <t>1,433,350</t>
  </si>
  <si>
    <t>TSX:TECK.A,TECK.B; NYSE:TECK</t>
  </si>
  <si>
    <t>Michael</t>
  </si>
  <si>
    <t>Steinmann</t>
  </si>
  <si>
    <t>154376460</t>
  </si>
  <si>
    <t>Pan American Silver Corp</t>
  </si>
  <si>
    <t>Silver mining</t>
  </si>
  <si>
    <t>1,508,000</t>
  </si>
  <si>
    <t>4,297,800</t>
  </si>
  <si>
    <t>1,932,130</t>
  </si>
  <si>
    <t>678,600</t>
  </si>
  <si>
    <t>8,416,530</t>
  </si>
  <si>
    <t>TSX, Nasdaq:PAAS</t>
  </si>
  <si>
    <t xml:space="preserve">Greg </t>
  </si>
  <si>
    <t>Smith</t>
  </si>
  <si>
    <t>489677473.8</t>
  </si>
  <si>
    <t>Equinox Gold Corp</t>
  </si>
  <si>
    <t>Gold mining</t>
  </si>
  <si>
    <t>575,035</t>
  </si>
  <si>
    <t>1,194,405</t>
  </si>
  <si>
    <t>516,732</t>
  </si>
  <si>
    <t>13,908</t>
  </si>
  <si>
    <t xml:space="preserve"> </t>
  </si>
  <si>
    <t>TSX-V:EQX</t>
  </si>
  <si>
    <t>Randy</t>
  </si>
  <si>
    <t>Smallwood</t>
  </si>
  <si>
    <t>724815972</t>
  </si>
  <si>
    <t>Wheaton Precious Metals Corp</t>
  </si>
  <si>
    <t>Silver and gold streaming</t>
  </si>
  <si>
    <t>1,300,000</t>
  </si>
  <si>
    <t>2,827,470</t>
  </si>
  <si>
    <t>942,566</t>
  </si>
  <si>
    <t>2,654,000</t>
  </si>
  <si>
    <t>421,217</t>
  </si>
  <si>
    <t>8,145,252</t>
  </si>
  <si>
    <t>TSX, NYSE, LSE:WPM</t>
  </si>
  <si>
    <t>Rich</t>
  </si>
  <si>
    <t>Sumner</t>
  </si>
  <si>
    <t>342785.601</t>
  </si>
  <si>
    <t>Methanex Corp</t>
  </si>
  <si>
    <t>Energy</t>
  </si>
  <si>
    <t>1,082,500</t>
  </si>
  <si>
    <t>2,414,262</t>
  </si>
  <si>
    <t>2,412,898</t>
  </si>
  <si>
    <t>1,583,000</t>
  </si>
  <si>
    <t>267,919</t>
  </si>
  <si>
    <t>230,795</t>
  </si>
  <si>
    <t>7,991,374</t>
  </si>
  <si>
    <t>TSX:MX, NASDAQ:MEOH</t>
  </si>
  <si>
    <t>Daniel</t>
  </si>
  <si>
    <t>Daviau</t>
  </si>
  <si>
    <t>29800000</t>
  </si>
  <si>
    <t>Canaccord Genuity Group Inc</t>
  </si>
  <si>
    <t>Independent, full-service financial services firm focused on wealth management and global capital markets</t>
  </si>
  <si>
    <t>850000</t>
  </si>
  <si>
    <t>400,000</t>
  </si>
  <si>
    <t>3400000</t>
  </si>
  <si>
    <t>25380</t>
  </si>
  <si>
    <t>5,275,380</t>
  </si>
  <si>
    <t>TSX:CF</t>
  </si>
  <si>
    <t>Gregory</t>
  </si>
  <si>
    <t>Lang</t>
  </si>
  <si>
    <t>NovaGold Resources Inc</t>
  </si>
  <si>
    <t>Gold exploration, development and mining</t>
  </si>
  <si>
    <t>857,850</t>
  </si>
  <si>
    <t>1,549,490</t>
  </si>
  <si>
    <t>1,572,298</t>
  </si>
  <si>
    <t>991,978</t>
  </si>
  <si>
    <t>56,284</t>
  </si>
  <si>
    <t>77097.8232</t>
  </si>
  <si>
    <t>5,027,900</t>
  </si>
  <si>
    <t>6887217.42</t>
  </si>
  <si>
    <t>Robert</t>
  </si>
  <si>
    <t>Friedland</t>
  </si>
  <si>
    <t>264000000</t>
  </si>
  <si>
    <t>Ivanhoe Mines Ltd</t>
  </si>
  <si>
    <t>executive co-chairman</t>
  </si>
  <si>
    <t>Minerals mining</t>
  </si>
  <si>
    <t>1,102,400</t>
  </si>
  <si>
    <t>1744720</t>
  </si>
  <si>
    <t>826,800</t>
  </si>
  <si>
    <t>1,157,520</t>
  </si>
  <si>
    <t>4,795,440</t>
  </si>
  <si>
    <t>6568793.712</t>
  </si>
  <si>
    <t>TSX:IVN</t>
  </si>
  <si>
    <t>Mark</t>
  </si>
  <si>
    <t>Farren</t>
  </si>
  <si>
    <t>chief operating officer</t>
  </si>
  <si>
    <t>636,000</t>
  </si>
  <si>
    <t>813285</t>
  </si>
  <si>
    <t>393,525</t>
  </si>
  <si>
    <t>658,260</t>
  </si>
  <si>
    <t>2,564,670</t>
  </si>
  <si>
    <t>3513084.966</t>
  </si>
  <si>
    <t>William</t>
  </si>
  <si>
    <t>Lundin</t>
  </si>
  <si>
    <t>343154077.2</t>
  </si>
  <si>
    <t>International Petroleum Corp</t>
  </si>
  <si>
    <t>Oil and gas</t>
  </si>
  <si>
    <t>607,420</t>
  </si>
  <si>
    <t>1,365,119</t>
  </si>
  <si>
    <t>571,988</t>
  </si>
  <si>
    <t>71,042</t>
  </si>
  <si>
    <t>47,717</t>
  </si>
  <si>
    <t>65362.7466</t>
  </si>
  <si>
    <t>2,663,286</t>
  </si>
  <si>
    <t>3648169.163</t>
  </si>
  <si>
    <t>TSX:IPCO</t>
  </si>
  <si>
    <t>Christophe</t>
  </si>
  <si>
    <t>Nerguararian</t>
  </si>
  <si>
    <t>CFO</t>
  </si>
  <si>
    <t>568,497</t>
  </si>
  <si>
    <t>1,062,843</t>
  </si>
  <si>
    <t>535,335</t>
  </si>
  <si>
    <t>172,001</t>
  </si>
  <si>
    <t>50,989</t>
  </si>
  <si>
    <t>69844.7322</t>
  </si>
  <si>
    <t>2,389,665</t>
  </si>
  <si>
    <t>3273363.117</t>
  </si>
  <si>
    <t>Zainul</t>
  </si>
  <si>
    <t>Mawji</t>
  </si>
  <si>
    <t>executive vice-president and president, consumer solutions</t>
  </si>
  <si>
    <t>787,500</t>
  </si>
  <si>
    <t>3,992,059</t>
  </si>
  <si>
    <t>286,257</t>
  </si>
  <si>
    <t>720,000</t>
  </si>
  <si>
    <t>60,049</t>
  </si>
  <si>
    <t>5,845,864</t>
  </si>
  <si>
    <t>Clive</t>
  </si>
  <si>
    <t>Johnson</t>
  </si>
  <si>
    <t>-858389279.4</t>
  </si>
  <si>
    <t>B2Gold Corp</t>
  </si>
  <si>
    <t>1300000</t>
  </si>
  <si>
    <t>3500000</t>
  </si>
  <si>
    <t>643,500</t>
  </si>
  <si>
    <t>303,652</t>
  </si>
  <si>
    <t>5,747,152</t>
  </si>
  <si>
    <t>TSX:BTO</t>
  </si>
  <si>
    <t>Navin</t>
  </si>
  <si>
    <t>Arora</t>
  </si>
  <si>
    <t>executive vice-president and president, business solutions</t>
  </si>
  <si>
    <t>702,000</t>
  </si>
  <si>
    <t>281,238</t>
  </si>
  <si>
    <t>6,049,053</t>
  </si>
  <si>
    <t>Sandy</t>
  </si>
  <si>
    <t>McIntosh</t>
  </si>
  <si>
    <t>executive vice-president and president, chief human resources officer</t>
  </si>
  <si>
    <t>643,750</t>
  </si>
  <si>
    <t>2,597,873</t>
  </si>
  <si>
    <t>234,003</t>
  </si>
  <si>
    <t>416,000</t>
  </si>
  <si>
    <t>68,861</t>
  </si>
  <si>
    <t>3,960,487</t>
  </si>
  <si>
    <t>Marna</t>
  </si>
  <si>
    <t>Cloete</t>
  </si>
  <si>
    <t>president</t>
  </si>
  <si>
    <t>937,040</t>
  </si>
  <si>
    <t>1452412</t>
  </si>
  <si>
    <t>702,780</t>
  </si>
  <si>
    <t>1,077,596</t>
  </si>
  <si>
    <t>31,581</t>
  </si>
  <si>
    <t>43259.6538</t>
  </si>
  <si>
    <t>Marcus</t>
  </si>
  <si>
    <t>Freeman</t>
  </si>
  <si>
    <t>CEO, Canaccord Genuity Group (Asia-Pacific)</t>
  </si>
  <si>
    <t>Financial services</t>
  </si>
  <si>
    <t>620970</t>
  </si>
  <si>
    <t>218227</t>
  </si>
  <si>
    <t>1862910</t>
  </si>
  <si>
    <t>17055</t>
  </si>
  <si>
    <t>4719181</t>
  </si>
  <si>
    <t xml:space="preserve">David </t>
  </si>
  <si>
    <t>Esfandi</t>
  </si>
  <si>
    <t xml:space="preserve">CEO, Canaccord Genuity Group Wealth Management </t>
  </si>
  <si>
    <t>423,725</t>
  </si>
  <si>
    <t>3050820</t>
  </si>
  <si>
    <t>57,215</t>
  </si>
  <si>
    <t>3,531,760</t>
  </si>
  <si>
    <t>Kevin</t>
  </si>
  <si>
    <t>Parkes</t>
  </si>
  <si>
    <t>509000000</t>
  </si>
  <si>
    <t>Finning International Inc</t>
  </si>
  <si>
    <t>Industrials</t>
  </si>
  <si>
    <t>1,075,137</t>
  </si>
  <si>
    <t>3,200,000</t>
  </si>
  <si>
    <t>800,000</t>
  </si>
  <si>
    <t>1,334,970</t>
  </si>
  <si>
    <t>248,769</t>
  </si>
  <si>
    <t>75,282</t>
  </si>
  <si>
    <t>6,734,158</t>
  </si>
  <si>
    <t>TSX:FTT</t>
  </si>
  <si>
    <t>Doug</t>
  </si>
  <si>
    <t>French</t>
  </si>
  <si>
    <t>executive vice-president and CFO</t>
  </si>
  <si>
    <t>837,500</t>
  </si>
  <si>
    <t>3,757,428</t>
  </si>
  <si>
    <t>304,432</t>
  </si>
  <si>
    <t>275,574</t>
  </si>
  <si>
    <t>5,894,933</t>
  </si>
  <si>
    <t>Tony</t>
  </si>
  <si>
    <t>Geheran</t>
  </si>
  <si>
    <t>former executive vice-president and COO</t>
  </si>
  <si>
    <t>366,734</t>
  </si>
  <si>
    <t>3,682,738</t>
  </si>
  <si>
    <t>182,738</t>
  </si>
  <si>
    <t>3,782,956</t>
  </si>
  <si>
    <t>297223</t>
  </si>
  <si>
    <t>8,015,166</t>
  </si>
  <si>
    <t>Stuart</t>
  </si>
  <si>
    <t>Raftus</t>
  </si>
  <si>
    <t>chief administrative officer</t>
  </si>
  <si>
    <t>572,000</t>
  </si>
  <si>
    <t>35,980</t>
  </si>
  <si>
    <t>1667812</t>
  </si>
  <si>
    <t>Brian</t>
  </si>
  <si>
    <t>Hill</t>
  </si>
  <si>
    <t>208000000</t>
  </si>
  <si>
    <t>Aritzia Inc</t>
  </si>
  <si>
    <t>executive chair</t>
  </si>
  <si>
    <t>Retail</t>
  </si>
  <si>
    <t>1</t>
  </si>
  <si>
    <t>2,500,000</t>
  </si>
  <si>
    <t>8400</t>
  </si>
  <si>
    <t>5008402</t>
  </si>
  <si>
    <t>TSX:ATZ</t>
  </si>
  <si>
    <t>Travis</t>
  </si>
  <si>
    <t>McPherson</t>
  </si>
  <si>
    <t>Uranium mining</t>
  </si>
  <si>
    <t>500,000</t>
  </si>
  <si>
    <t>4,175,000</t>
  </si>
  <si>
    <t>739,500</t>
  </si>
  <si>
    <t>5,414,500</t>
  </si>
  <si>
    <t>Keith</t>
  </si>
  <si>
    <t>Neumeyer</t>
  </si>
  <si>
    <t>-139562073</t>
  </si>
  <si>
    <t>First Majestic Silver Mining</t>
  </si>
  <si>
    <t>1260000</t>
  </si>
  <si>
    <t>1,714,902</t>
  </si>
  <si>
    <t>658,083</t>
  </si>
  <si>
    <t>1,619,730</t>
  </si>
  <si>
    <t>140,146</t>
  </si>
  <si>
    <t>5,392,861</t>
  </si>
  <si>
    <t>TSX:FR; NYSE:AG</t>
  </si>
  <si>
    <t>Sherry</t>
  </si>
  <si>
    <t>Aulin</t>
  </si>
  <si>
    <t>509,717</t>
  </si>
  <si>
    <t>195,075</t>
  </si>
  <si>
    <t>37,858</t>
  </si>
  <si>
    <t>51857.8884</t>
  </si>
  <si>
    <t>4,164,888</t>
  </si>
  <si>
    <t>5705063.582</t>
  </si>
  <si>
    <t>XENE</t>
  </si>
  <si>
    <t>Jennifer</t>
  </si>
  <si>
    <t>Wong</t>
  </si>
  <si>
    <t>1,335,577</t>
  </si>
  <si>
    <t>1,856,250</t>
  </si>
  <si>
    <t>655,189</t>
  </si>
  <si>
    <t>5,703,266</t>
  </si>
  <si>
    <t>Fillinger</t>
  </si>
  <si>
    <t>-304000000</t>
  </si>
  <si>
    <t>Interfor Corp</t>
  </si>
  <si>
    <t>Forestry</t>
  </si>
  <si>
    <t>842,400</t>
  </si>
  <si>
    <t>2,023,501</t>
  </si>
  <si>
    <t>209,744</t>
  </si>
  <si>
    <t>157,197</t>
  </si>
  <si>
    <t>3,232,842</t>
  </si>
  <si>
    <t>TSX:IFP</t>
  </si>
  <si>
    <t xml:space="preserve">     </t>
  </si>
  <si>
    <t>Carlos Bueno</t>
  </si>
  <si>
    <t>juan.carlos.bueno@mercerint.com</t>
  </si>
  <si>
    <t>116626141.8</t>
  </si>
  <si>
    <t>Mercer International Inc</t>
  </si>
  <si>
    <t>Forestry/pulp</t>
  </si>
  <si>
    <t>753,354</t>
  </si>
  <si>
    <t>1,493,315</t>
  </si>
  <si>
    <t>4888778</t>
  </si>
  <si>
    <t>592,383</t>
  </si>
  <si>
    <t>96,269</t>
  </si>
  <si>
    <t>16,266</t>
  </si>
  <si>
    <t>22281.1668</t>
  </si>
  <si>
    <t>2,951,587</t>
  </si>
  <si>
    <t>4043083.873</t>
  </si>
  <si>
    <t>Nasdaq:MERC</t>
  </si>
  <si>
    <t>Makko</t>
  </si>
  <si>
    <t>DeFilippo</t>
  </si>
  <si>
    <t>-92858742</t>
  </si>
  <si>
    <t>Ero Copper Corp</t>
  </si>
  <si>
    <t>president and COO</t>
  </si>
  <si>
    <t>Mining</t>
  </si>
  <si>
    <t>475,000</t>
  </si>
  <si>
    <t>719,828</t>
  </si>
  <si>
    <t>362,542</t>
  </si>
  <si>
    <t>231,563</t>
  </si>
  <si>
    <t>2,149,145</t>
  </si>
  <si>
    <t>2943898.821</t>
  </si>
  <si>
    <t>TSX:ERO</t>
  </si>
  <si>
    <t>David</t>
  </si>
  <si>
    <t>Strang</t>
  </si>
  <si>
    <t>640,000</t>
  </si>
  <si>
    <t>640,952</t>
  </si>
  <si>
    <t>322,824</t>
  </si>
  <si>
    <t>1,671</t>
  </si>
  <si>
    <t>2288.9358</t>
  </si>
  <si>
    <t>2,341,931</t>
  </si>
  <si>
    <t>3207977.084</t>
  </si>
  <si>
    <t>John</t>
  </si>
  <si>
    <t>MacKenzie</t>
  </si>
  <si>
    <t>117630205.2</t>
  </si>
  <si>
    <t>Capstone Copper Corp</t>
  </si>
  <si>
    <t>CEO and director</t>
  </si>
  <si>
    <t>9.60E+05</t>
  </si>
  <si>
    <t>1,800,000</t>
  </si>
  <si>
    <t>600,000</t>
  </si>
  <si>
    <t>918,720</t>
  </si>
  <si>
    <t>128,300</t>
  </si>
  <si>
    <t>4,407,020</t>
  </si>
  <si>
    <t>TSX:CS</t>
  </si>
  <si>
    <t>Steven</t>
  </si>
  <si>
    <t>Busby</t>
  </si>
  <si>
    <t>COO</t>
  </si>
  <si>
    <t>780,000</t>
  </si>
  <si>
    <t>1,716,000</t>
  </si>
  <si>
    <t>639,000</t>
  </si>
  <si>
    <t>351,000</t>
  </si>
  <si>
    <t>3,486,000</t>
  </si>
  <si>
    <t>Robert J</t>
  </si>
  <si>
    <t>Brown</t>
  </si>
  <si>
    <t>Robbrown@adentragroup.com</t>
  </si>
  <si>
    <t>63695700</t>
  </si>
  <si>
    <t>ADENTRA Inc</t>
  </si>
  <si>
    <t>Distributor of hardwood lumber, panel and interior architectural building products</t>
  </si>
  <si>
    <t>968000</t>
  </si>
  <si>
    <t>2,864,000</t>
  </si>
  <si>
    <t>887,125</t>
  </si>
  <si>
    <t>33,780</t>
  </si>
  <si>
    <t>4,752,905</t>
  </si>
  <si>
    <t>TSX: ADEN</t>
  </si>
  <si>
    <t>Ron</t>
  </si>
  <si>
    <t>Hochstein</t>
  </si>
  <si>
    <t>583603290</t>
  </si>
  <si>
    <t>Lundin Gold Inc</t>
  </si>
  <si>
    <t>president, CEO and director</t>
  </si>
  <si>
    <t>550,445</t>
  </si>
  <si>
    <t>715833.4</t>
  </si>
  <si>
    <t>826,334</t>
  </si>
  <si>
    <t>275,265</t>
  </si>
  <si>
    <t>504,687</t>
  </si>
  <si>
    <t xml:space="preserve">                 </t>
  </si>
  <si>
    <t>2,245,009</t>
  </si>
  <si>
    <t>TSX: LUG</t>
  </si>
  <si>
    <t>Monica</t>
  </si>
  <si>
    <t>Kras</t>
  </si>
  <si>
    <t>vice-president, corporate development</t>
  </si>
  <si>
    <t>410,246</t>
  </si>
  <si>
    <t>1,711,000</t>
  </si>
  <si>
    <t>369,047</t>
  </si>
  <si>
    <t>2,490,293</t>
  </si>
  <si>
    <t>James</t>
  </si>
  <si>
    <t>Farrar</t>
  </si>
  <si>
    <t>jfarrar@cioreit.com</t>
  </si>
  <si>
    <t>-24218064</t>
  </si>
  <si>
    <t>City Office REIT</t>
  </si>
  <si>
    <t>Real estate investment trust</t>
  </si>
  <si>
    <t>525,000</t>
  </si>
  <si>
    <t>1,054,368</t>
  </si>
  <si>
    <t>656,250</t>
  </si>
  <si>
    <t>91,017</t>
  </si>
  <si>
    <t>124675.0866</t>
  </si>
  <si>
    <t>2,326,635</t>
  </si>
  <si>
    <t>3187024.623</t>
  </si>
  <si>
    <t>NYSE:CIO</t>
  </si>
  <si>
    <t>Tylee</t>
  </si>
  <si>
    <t>Lemon</t>
  </si>
  <si>
    <t>general counsel</t>
  </si>
  <si>
    <t>634,400</t>
  </si>
  <si>
    <t>1,395,680</t>
  </si>
  <si>
    <t>567,790</t>
  </si>
  <si>
    <t>285,480</t>
  </si>
  <si>
    <t>2,883,350</t>
  </si>
  <si>
    <t>Sean</t>
  </si>
  <si>
    <t>McAleer</t>
  </si>
  <si>
    <t xml:space="preserve">SVP, strategic initiatives </t>
  </si>
  <si>
    <t>1,080,000</t>
  </si>
  <si>
    <t>520,200</t>
  </si>
  <si>
    <t>150,000</t>
  </si>
  <si>
    <t>79,487</t>
  </si>
  <si>
    <t>2,429,687</t>
  </si>
  <si>
    <t>Cinnamond</t>
  </si>
  <si>
    <t>senior vice-president, finance and CFO</t>
  </si>
  <si>
    <t>650000</t>
  </si>
  <si>
    <t>1750000</t>
  </si>
  <si>
    <t>321,750</t>
  </si>
  <si>
    <t>97,563</t>
  </si>
  <si>
    <t>2,819,313</t>
  </si>
  <si>
    <t>Lytle</t>
  </si>
  <si>
    <t>senior vice-president, operations and COO</t>
  </si>
  <si>
    <t>91,611</t>
  </si>
  <si>
    <t>2,813,361</t>
  </si>
  <si>
    <t>Ottewell</t>
  </si>
  <si>
    <t>vice-president and CFO</t>
  </si>
  <si>
    <t>289,938</t>
  </si>
  <si>
    <t>571,540</t>
  </si>
  <si>
    <t>579,852</t>
  </si>
  <si>
    <t>267,206</t>
  </si>
  <si>
    <t>11,481</t>
  </si>
  <si>
    <t>15726.6738</t>
  </si>
  <si>
    <t>1,720,017</t>
  </si>
  <si>
    <t>2356079.287</t>
  </si>
  <si>
    <t>Richard</t>
  </si>
  <si>
    <t>Williams</t>
  </si>
  <si>
    <t>vice-president and COO</t>
  </si>
  <si>
    <t>428,467</t>
  </si>
  <si>
    <t>446,141</t>
  </si>
  <si>
    <t>452,634</t>
  </si>
  <si>
    <t>583,082</t>
  </si>
  <si>
    <t>29,122</t>
  </si>
  <si>
    <t>39891.3156</t>
  </si>
  <si>
    <t>1,939,446</t>
  </si>
  <si>
    <t>2656653.131</t>
  </si>
  <si>
    <t>MacEwen</t>
  </si>
  <si>
    <t>-444150801</t>
  </si>
  <si>
    <t>Ballard Power Systems Inc</t>
  </si>
  <si>
    <t>639,589</t>
  </si>
  <si>
    <t>1,950,000</t>
  </si>
  <si>
    <t>450000</t>
  </si>
  <si>
    <t>375000</t>
  </si>
  <si>
    <t>55,409</t>
  </si>
  <si>
    <t>3,142,248</t>
  </si>
  <si>
    <t>TSX, Nasdaq:BLDP</t>
  </si>
  <si>
    <t>Paul</t>
  </si>
  <si>
    <t>Dobson</t>
  </si>
  <si>
    <t xml:space="preserve">senior vice-president and CFO </t>
  </si>
  <si>
    <t>411,327</t>
  </si>
  <si>
    <t>603,532</t>
  </si>
  <si>
    <t>249,993</t>
  </si>
  <si>
    <t>929,123</t>
  </si>
  <si>
    <t>2,193,975</t>
  </si>
  <si>
    <t>Patrick</t>
  </si>
  <si>
    <t>Drouin</t>
  </si>
  <si>
    <t>chief sustainability officer</t>
  </si>
  <si>
    <t>587,071</t>
  </si>
  <si>
    <t>836,846</t>
  </si>
  <si>
    <t>278,886</t>
  </si>
  <si>
    <t>761,178</t>
  </si>
  <si>
    <t>2,463,981</t>
  </si>
  <si>
    <t>Curt</t>
  </si>
  <si>
    <t>Bernardi</t>
  </si>
  <si>
    <t>senior vice-president, legal and strategic development</t>
  </si>
  <si>
    <t>652,000</t>
  </si>
  <si>
    <t>929,136</t>
  </si>
  <si>
    <t>309,709</t>
  </si>
  <si>
    <t>1,019,300</t>
  </si>
  <si>
    <t>173,177</t>
  </si>
  <si>
    <t>3,083,322</t>
  </si>
  <si>
    <t>Haytham</t>
  </si>
  <si>
    <t>Hodaly</t>
  </si>
  <si>
    <t>senior vice-president, corporate development</t>
  </si>
  <si>
    <t>CJ</t>
  </si>
  <si>
    <t>Prystai</t>
  </si>
  <si>
    <t>1,528,900</t>
  </si>
  <si>
    <t>510,500</t>
  </si>
  <si>
    <t>746,750</t>
  </si>
  <si>
    <t>69,885</t>
  </si>
  <si>
    <t>3,643,535</t>
  </si>
  <si>
    <t>S.</t>
  </si>
  <si>
    <t>Bharmal</t>
  </si>
  <si>
    <t>772,917</t>
  </si>
  <si>
    <t>1,499,100</t>
  </si>
  <si>
    <t>498,700</t>
  </si>
  <si>
    <t>685,850</t>
  </si>
  <si>
    <t>67,989</t>
  </si>
  <si>
    <t>3,524,556</t>
  </si>
  <si>
    <t>N.P.M.</t>
  </si>
  <si>
    <t>Hooper</t>
  </si>
  <si>
    <t>CDDO</t>
  </si>
  <si>
    <t>768,750</t>
  </si>
  <si>
    <t>1,337,200</t>
  </si>
  <si>
    <t>444,900</t>
  </si>
  <si>
    <t>713,450</t>
  </si>
  <si>
    <t>67,448</t>
  </si>
  <si>
    <t>3,331,748</t>
  </si>
  <si>
    <t>R.B.</t>
  </si>
  <si>
    <t>Sheremeta</t>
  </si>
  <si>
    <t>former coal president</t>
  </si>
  <si>
    <t>612,500</t>
  </si>
  <si>
    <t>1,124,700</t>
  </si>
  <si>
    <t>374,600</t>
  </si>
  <si>
    <t>1,362,800</t>
  </si>
  <si>
    <t>375,500</t>
  </si>
  <si>
    <t>3,099,100</t>
  </si>
  <si>
    <t>Gary</t>
  </si>
  <si>
    <t>Randall</t>
  </si>
  <si>
    <t>Chatwin</t>
  </si>
  <si>
    <t>senior vice-president, legal and corporate communications</t>
  </si>
  <si>
    <t>625,000</t>
  </si>
  <si>
    <t>1,700,000</t>
  </si>
  <si>
    <t>309,375</t>
  </si>
  <si>
    <t>42,820</t>
  </si>
  <si>
    <t>2,677,195</t>
  </si>
  <si>
    <t>McDonald</t>
  </si>
  <si>
    <t>Taseko Mines Ltd</t>
  </si>
  <si>
    <t>690,660</t>
  </si>
  <si>
    <t>471,700</t>
  </si>
  <si>
    <t>487,771</t>
  </si>
  <si>
    <t>735,493</t>
  </si>
  <si>
    <t>112,608</t>
  </si>
  <si>
    <t>2,498,232</t>
  </si>
  <si>
    <t>TSX:TKO; NYSE:TGB; LSE:TKO</t>
  </si>
  <si>
    <t>Greg</t>
  </si>
  <si>
    <t>Palaschuk</t>
  </si>
  <si>
    <t>687,620</t>
  </si>
  <si>
    <t>1,056,000</t>
  </si>
  <si>
    <t>264,000</t>
  </si>
  <si>
    <t>553,401</t>
  </si>
  <si>
    <t>134,716</t>
  </si>
  <si>
    <t>56,177</t>
  </si>
  <si>
    <t>2,751,914</t>
  </si>
  <si>
    <t>Victor</t>
  </si>
  <si>
    <t>King</t>
  </si>
  <si>
    <t>senior vice-president, exploration</t>
  </si>
  <si>
    <t>1,450,000</t>
  </si>
  <si>
    <t>297,000</t>
  </si>
  <si>
    <t>44,073</t>
  </si>
  <si>
    <t>2,391,073</t>
  </si>
  <si>
    <t>George</t>
  </si>
  <si>
    <t>Paleologou</t>
  </si>
  <si>
    <t>122000000</t>
  </si>
  <si>
    <t>Premium Brands Holdings Corp</t>
  </si>
  <si>
    <t>Food manufacturing and distribution</t>
  </si>
  <si>
    <t>1,350,000</t>
  </si>
  <si>
    <t>100,623</t>
  </si>
  <si>
    <t>2,665,623</t>
  </si>
  <si>
    <t>TSX:PBH</t>
  </si>
  <si>
    <t>Dean</t>
  </si>
  <si>
    <t>Richardson</t>
  </si>
  <si>
    <t>senior vice-president of finance and CFO</t>
  </si>
  <si>
    <t>618,000</t>
  </si>
  <si>
    <t>623,589</t>
  </si>
  <si>
    <t>623,848</t>
  </si>
  <si>
    <t>542,000</t>
  </si>
  <si>
    <t>118,965</t>
  </si>
  <si>
    <t>191,272</t>
  </si>
  <si>
    <t>2,717,674</t>
  </si>
  <si>
    <t>Donald</t>
  </si>
  <si>
    <t>MacFayden</t>
  </si>
  <si>
    <t>1200000</t>
  </si>
  <si>
    <t>1,714,392</t>
  </si>
  <si>
    <t>Cashel</t>
  </si>
  <si>
    <t>Meagher</t>
  </si>
  <si>
    <t>676,000</t>
  </si>
  <si>
    <t>861,900</t>
  </si>
  <si>
    <t>287,300</t>
  </si>
  <si>
    <t>550,602</t>
  </si>
  <si>
    <t>84,172</t>
  </si>
  <si>
    <t>2,459,974</t>
  </si>
  <si>
    <t>Primrose</t>
  </si>
  <si>
    <t>president, Finning Canada</t>
  </si>
  <si>
    <t>603,694</t>
  </si>
  <si>
    <t>475,431</t>
  </si>
  <si>
    <t>361,000</t>
  </si>
  <si>
    <t>42,950</t>
  </si>
  <si>
    <t>2,233,075</t>
  </si>
  <si>
    <t>Juan</t>
  </si>
  <si>
    <t>Pablo Amar</t>
  </si>
  <si>
    <t xml:space="preserve">President, Finning South America </t>
  </si>
  <si>
    <t>587,748</t>
  </si>
  <si>
    <t>660,000</t>
  </si>
  <si>
    <t>165,000</t>
  </si>
  <si>
    <t>579,938</t>
  </si>
  <si>
    <t>103,544</t>
  </si>
  <si>
    <t>2,096,230</t>
  </si>
  <si>
    <t>Don</t>
  </si>
  <si>
    <t>Kayne</t>
  </si>
  <si>
    <t>-162000000</t>
  </si>
  <si>
    <t>Canfor Corp</t>
  </si>
  <si>
    <t>Lumber, engineered lumber, structural panels, decking, trim, siding and recycled wood products</t>
  </si>
  <si>
    <t>1,200,000</t>
  </si>
  <si>
    <t>912,000</t>
  </si>
  <si>
    <t>1,249,00</t>
  </si>
  <si>
    <t>45,556</t>
  </si>
  <si>
    <t>3,406,556</t>
  </si>
  <si>
    <t>TSX:CFP</t>
  </si>
  <si>
    <t>Amar</t>
  </si>
  <si>
    <t>Doman</t>
  </si>
  <si>
    <t>54187000</t>
  </si>
  <si>
    <t>Doman Building Materials Group Ltd</t>
  </si>
  <si>
    <t>chair and CEO</t>
  </si>
  <si>
    <t>Distributor of lumber, building supplies and associated products</t>
  </si>
  <si>
    <t>950,000</t>
  </si>
  <si>
    <t>1500</t>
  </si>
  <si>
    <t>2,251,500</t>
  </si>
  <si>
    <t>TSX:DBM</t>
  </si>
  <si>
    <t>Brad</t>
  </si>
  <si>
    <t>Boyd</t>
  </si>
  <si>
    <t>senior vice-president, corporate resources</t>
  </si>
  <si>
    <t>572,250</t>
  </si>
  <si>
    <t>486,285</t>
  </si>
  <si>
    <t>487,220</t>
  </si>
  <si>
    <t>409,000</t>
  </si>
  <si>
    <t>107,011</t>
  </si>
  <si>
    <t>145,034</t>
  </si>
  <si>
    <t>2,206,800</t>
  </si>
  <si>
    <t>Russell</t>
  </si>
  <si>
    <t>Permann</t>
  </si>
  <si>
    <t>47613000</t>
  </si>
  <si>
    <t>Taiga Building Products Ltd</t>
  </si>
  <si>
    <t>Building products distribution</t>
  </si>
  <si>
    <t>250000</t>
  </si>
  <si>
    <t>1,152,369</t>
  </si>
  <si>
    <t>42,674</t>
  </si>
  <si>
    <t>1,445,043</t>
  </si>
  <si>
    <t>TSX:TBL</t>
  </si>
  <si>
    <t>Hofer</t>
  </si>
  <si>
    <t>34500000</t>
  </si>
  <si>
    <t>Western Forest Products Inc</t>
  </si>
  <si>
    <t>772,164</t>
  </si>
  <si>
    <t>1,162,500</t>
  </si>
  <si>
    <t>108,103</t>
  </si>
  <si>
    <t>126,806</t>
  </si>
  <si>
    <t>2,169,573</t>
  </si>
  <si>
    <t>TSX:WEF</t>
  </si>
  <si>
    <t>Will</t>
  </si>
  <si>
    <t>Kalutycz</t>
  </si>
  <si>
    <t>1000000</t>
  </si>
  <si>
    <t>700,000</t>
  </si>
  <si>
    <t>68,253</t>
  </si>
  <si>
    <t>1,768,253</t>
  </si>
  <si>
    <t>Irv</t>
  </si>
  <si>
    <t>Teper</t>
  </si>
  <si>
    <t>CEO of concord premium meats</t>
  </si>
  <si>
    <t>998,438</t>
  </si>
  <si>
    <t>12,000</t>
  </si>
  <si>
    <t>1,910,438</t>
  </si>
  <si>
    <t xml:space="preserve">Joe </t>
  </si>
  <si>
    <t>Mannara</t>
  </si>
  <si>
    <t>President of concord premium meats</t>
  </si>
  <si>
    <t>Anthony</t>
  </si>
  <si>
    <t>Maretic</t>
  </si>
  <si>
    <t>Real estate</t>
  </si>
  <si>
    <t>437,578</t>
  </si>
  <si>
    <t>483,500</t>
  </si>
  <si>
    <t>37,527</t>
  </si>
  <si>
    <t>51404.4846</t>
  </si>
  <si>
    <t>1,358,605</t>
  </si>
  <si>
    <t>1861017.129</t>
  </si>
  <si>
    <t>Soares</t>
  </si>
  <si>
    <t>531,464</t>
  </si>
  <si>
    <t>536,661</t>
  </si>
  <si>
    <t>186,290</t>
  </si>
  <si>
    <t>569,331</t>
  </si>
  <si>
    <t>69,422</t>
  </si>
  <si>
    <t>28,330</t>
  </si>
  <si>
    <t>1,921,498</t>
  </si>
  <si>
    <t>Holmes</t>
  </si>
  <si>
    <t>First Majestic Silver Corp</t>
  </si>
  <si>
    <t>624,510</t>
  </si>
  <si>
    <t>613,035</t>
  </si>
  <si>
    <t>212,800</t>
  </si>
  <si>
    <t>669,006</t>
  </si>
  <si>
    <t>73,335</t>
  </si>
  <si>
    <t>35,592</t>
  </si>
  <si>
    <t>2,228,277</t>
  </si>
  <si>
    <t>Edgson</t>
  </si>
  <si>
    <t>-161900000</t>
  </si>
  <si>
    <t>Canfor Pulp Products Inc</t>
  </si>
  <si>
    <t>Pulp and paper</t>
  </si>
  <si>
    <t>505,385</t>
  </si>
  <si>
    <t>288,000</t>
  </si>
  <si>
    <t>58,154</t>
  </si>
  <si>
    <t>1,455,574</t>
  </si>
  <si>
    <t>2,307,113</t>
  </si>
  <si>
    <t>TSX:CFX</t>
  </si>
  <si>
    <t>Elliott</t>
  </si>
  <si>
    <t>patrick.elliott@canfor.com</t>
  </si>
  <si>
    <t>CFO and senior vice-president, sustainability</t>
  </si>
  <si>
    <t>549,999</t>
  </si>
  <si>
    <t>418,000</t>
  </si>
  <si>
    <t>66,000</t>
  </si>
  <si>
    <t>68,171</t>
  </si>
  <si>
    <t>1,102,170</t>
  </si>
  <si>
    <t>Stephen</t>
  </si>
  <si>
    <t>Mackie</t>
  </si>
  <si>
    <t>executive vice-president, North American operations</t>
  </si>
  <si>
    <t>590,769</t>
  </si>
  <si>
    <t>449,667</t>
  </si>
  <si>
    <t>174,097</t>
  </si>
  <si>
    <t>99,763</t>
  </si>
  <si>
    <t>1,314,296</t>
  </si>
  <si>
    <t>McLaren</t>
  </si>
  <si>
    <t>-6849000</t>
  </si>
  <si>
    <t>West Fraser Timber Co Ltd</t>
  </si>
  <si>
    <t>1,218,545</t>
  </si>
  <si>
    <t>1,440,033</t>
  </si>
  <si>
    <t>1,439,939</t>
  </si>
  <si>
    <t>6,718,700</t>
  </si>
  <si>
    <t>10,817,216</t>
  </si>
  <si>
    <t>TSX:WFG; NYSE: WFG</t>
  </si>
  <si>
    <t>Tremblay</t>
  </si>
  <si>
    <t>446,870</t>
  </si>
  <si>
    <t>222,500</t>
  </si>
  <si>
    <t>217,940</t>
  </si>
  <si>
    <t>276,316</t>
  </si>
  <si>
    <t>162,902</t>
  </si>
  <si>
    <t>1,326,528</t>
  </si>
  <si>
    <t>Chris</t>
  </si>
  <si>
    <t>Virostek</t>
  </si>
  <si>
    <t>senior vice-president, finance, and CFO</t>
  </si>
  <si>
    <t>600,750</t>
  </si>
  <si>
    <t>356,957</t>
  </si>
  <si>
    <t>357,034</t>
  </si>
  <si>
    <t>149,200</t>
  </si>
  <si>
    <t>1,463,941</t>
  </si>
  <si>
    <t>Burke</t>
  </si>
  <si>
    <t>691,064</t>
  </si>
  <si>
    <t>299,992</t>
  </si>
  <si>
    <t>299,982</t>
  </si>
  <si>
    <t>55,285</t>
  </si>
  <si>
    <t>181,785</t>
  </si>
  <si>
    <t>1,528,108</t>
  </si>
  <si>
    <t>Calabrigo</t>
  </si>
  <si>
    <t>senior vice-president, corporate development, legal affairs and corporate secretary</t>
  </si>
  <si>
    <t>524,999</t>
  </si>
  <si>
    <t>399,000</t>
  </si>
  <si>
    <t>112,000</t>
  </si>
  <si>
    <t>27,313</t>
  </si>
  <si>
    <t>1,063,312</t>
  </si>
  <si>
    <t>Bruce</t>
  </si>
  <si>
    <t>Hamming</t>
  </si>
  <si>
    <t>421,360</t>
  </si>
  <si>
    <t>276,975</t>
  </si>
  <si>
    <t>54,540</t>
  </si>
  <si>
    <t>1,193,315</t>
  </si>
  <si>
    <t>Code</t>
  </si>
  <si>
    <t>550,000</t>
  </si>
  <si>
    <t>16,245</t>
  </si>
  <si>
    <t>1,116,245</t>
  </si>
  <si>
    <t xml:space="preserve">James </t>
  </si>
  <si>
    <t>Kessler</t>
  </si>
  <si>
    <t>162184320</t>
  </si>
  <si>
    <t>RB Global Inc (dba as Ritchie Bros Auctioneers)</t>
  </si>
  <si>
    <t>1170900</t>
  </si>
  <si>
    <t>11,775,480</t>
  </si>
  <si>
    <t>2236556</t>
  </si>
  <si>
    <t>1,684,934</t>
  </si>
  <si>
    <t>344,493</t>
  </si>
  <si>
    <t>14,654,908</t>
  </si>
  <si>
    <t>TSX, NYSE:RBA</t>
  </si>
  <si>
    <t xml:space="preserve">Eric </t>
  </si>
  <si>
    <t>Guerin</t>
  </si>
  <si>
    <t>606,137</t>
  </si>
  <si>
    <t>4,465,025</t>
  </si>
  <si>
    <t>79,257</t>
  </si>
  <si>
    <t>6,673,486</t>
  </si>
  <si>
    <t>Jeff</t>
  </si>
  <si>
    <t>Jeter</t>
  </si>
  <si>
    <t>chief revenue officer</t>
  </si>
  <si>
    <t>2,850,021</t>
  </si>
  <si>
    <t>81,387</t>
  </si>
  <si>
    <t>4,720,773</t>
  </si>
  <si>
    <t xml:space="preserve">Nancy </t>
  </si>
  <si>
    <t>chief technology officer</t>
  </si>
  <si>
    <t>350,000</t>
  </si>
  <si>
    <t>2,500,097</t>
  </si>
  <si>
    <t>40,612</t>
  </si>
  <si>
    <t>3,331,619</t>
  </si>
  <si>
    <t>Steve</t>
  </si>
  <si>
    <t>Lewis</t>
  </si>
  <si>
    <t>218,967</t>
  </si>
  <si>
    <t>2,624,861</t>
  </si>
  <si>
    <t>21,626</t>
  </si>
  <si>
    <t>3,515,454</t>
  </si>
  <si>
    <t>Walton</t>
  </si>
  <si>
    <t>45300000</t>
  </si>
  <si>
    <t>Rogers Sugar Inc/Lantic Inc</t>
  </si>
  <si>
    <t>CEO and president</t>
  </si>
  <si>
    <t xml:space="preserve">Sugar refinery </t>
  </si>
  <si>
    <t>623,600</t>
  </si>
  <si>
    <t>990,300</t>
  </si>
  <si>
    <t>943,800</t>
  </si>
  <si>
    <t>93,500</t>
  </si>
  <si>
    <t>2,651,200</t>
  </si>
  <si>
    <t>TSX:RSI</t>
  </si>
  <si>
    <t xml:space="preserve">Rui </t>
  </si>
  <si>
    <t>Feng</t>
  </si>
  <si>
    <t>68048924.4</t>
  </si>
  <si>
    <t>Silvercorp Metals Inc</t>
  </si>
  <si>
    <t>945,000</t>
  </si>
  <si>
    <t>1,174,464</t>
  </si>
  <si>
    <t>1,091,000</t>
  </si>
  <si>
    <t>3,210,464</t>
  </si>
  <si>
    <t>4397693.587</t>
  </si>
  <si>
    <t>TSX, NYSE American:SVM</t>
  </si>
  <si>
    <t>Lamb</t>
  </si>
  <si>
    <t>70752909.6</t>
  </si>
  <si>
    <t>Lucara Diamond</t>
  </si>
  <si>
    <t>750000</t>
  </si>
  <si>
    <t>1580000</t>
  </si>
  <si>
    <t>44000</t>
  </si>
  <si>
    <t>624000</t>
  </si>
  <si>
    <t>8000</t>
  </si>
  <si>
    <t>3006000</t>
  </si>
  <si>
    <t xml:space="preserve">Sheldon </t>
  </si>
  <si>
    <t>Bennett</t>
  </si>
  <si>
    <t>-5230000</t>
  </si>
  <si>
    <t>DMG Blockchain Solutions Inc</t>
  </si>
  <si>
    <t xml:space="preserve">CEO </t>
  </si>
  <si>
    <t>Cryptocurrency</t>
  </si>
  <si>
    <t>387,936</t>
  </si>
  <si>
    <t>617,100</t>
  </si>
  <si>
    <t>1,005,036</t>
  </si>
  <si>
    <t>TSXV:DMGI</t>
  </si>
  <si>
    <t xml:space="preserve">Ryan </t>
  </si>
  <si>
    <t>Nicometo</t>
  </si>
  <si>
    <t>Methanex</t>
  </si>
  <si>
    <t>senior vice-president</t>
  </si>
  <si>
    <t>Production, distribution and marketing of methanol</t>
  </si>
  <si>
    <t>406,341</t>
  </si>
  <si>
    <t>136,629</t>
  </si>
  <si>
    <t>323,755</t>
  </si>
  <si>
    <t>1,006,518</t>
  </si>
  <si>
    <t>Alan</t>
  </si>
  <si>
    <t>Baratz</t>
  </si>
  <si>
    <t>-144000000</t>
  </si>
  <si>
    <t>D-Wave Quantum Systems Inc</t>
  </si>
  <si>
    <t>Technology</t>
  </si>
  <si>
    <t>575,000</t>
  </si>
  <si>
    <t>630,000</t>
  </si>
  <si>
    <t>517,500</t>
  </si>
  <si>
    <t>1,722,500</t>
  </si>
  <si>
    <t>2359480.5</t>
  </si>
  <si>
    <t>NYSE:QBTS</t>
  </si>
  <si>
    <t>Diane</t>
  </si>
  <si>
    <t>Nguyen</t>
  </si>
  <si>
    <t>General Counsel</t>
  </si>
  <si>
    <t>310,000</t>
  </si>
  <si>
    <t>378,000</t>
  </si>
  <si>
    <t>162,000</t>
  </si>
  <si>
    <t>1,001,800</t>
  </si>
  <si>
    <t>1372265.64</t>
  </si>
  <si>
    <t>Hall</t>
  </si>
  <si>
    <t>47586852</t>
  </si>
  <si>
    <t>Calibre Mining Corp</t>
  </si>
  <si>
    <t>1,545,000.00</t>
  </si>
  <si>
    <t>3,090,000.00</t>
  </si>
  <si>
    <t>33,311.00</t>
  </si>
  <si>
    <t>4,668,311.00</t>
  </si>
  <si>
    <t>TSX:CXBMF</t>
  </si>
  <si>
    <t>Tristan</t>
  </si>
  <si>
    <t>Pascall</t>
  </si>
  <si>
    <t>-147938400</t>
  </si>
  <si>
    <t>First Quantum Minerals Ltd</t>
  </si>
  <si>
    <t>1,199,740</t>
  </si>
  <si>
    <t>2,400,000</t>
  </si>
  <si>
    <t>810,000</t>
  </si>
  <si>
    <t>7,936</t>
  </si>
  <si>
    <t>281,003</t>
  </si>
  <si>
    <t>4,698,679</t>
  </si>
  <si>
    <t xml:space="preserve">Michael </t>
  </si>
  <si>
    <t>Kelly</t>
  </si>
  <si>
    <t>NervGen Pharma Corp</t>
  </si>
  <si>
    <t xml:space="preserve">Pharmaceuticals </t>
  </si>
  <si>
    <t>781,169</t>
  </si>
  <si>
    <t>329,220</t>
  </si>
  <si>
    <t>1,111,439</t>
  </si>
  <si>
    <t>TSX.V NGEN, OTCQX NGENF</t>
  </si>
  <si>
    <t xml:space="preserve">George </t>
  </si>
  <si>
    <t xml:space="preserve">Burns </t>
  </si>
  <si>
    <t>411811192.8</t>
  </si>
  <si>
    <t>Eldorado Gold Corp</t>
  </si>
  <si>
    <t>1,060,800</t>
  </si>
  <si>
    <t>1,750,299</t>
  </si>
  <si>
    <t>583,438</t>
  </si>
  <si>
    <t>1,463,904</t>
  </si>
  <si>
    <t>350,064</t>
  </si>
  <si>
    <t>5,208,505</t>
  </si>
  <si>
    <t>TSX:ELD; NYSE:EGO</t>
  </si>
  <si>
    <t xml:space="preserve">Paul </t>
  </si>
  <si>
    <t>Ferneyhough</t>
  </si>
  <si>
    <t>EVP and CFP</t>
  </si>
  <si>
    <t>519,856</t>
  </si>
  <si>
    <t>584,982</t>
  </si>
  <si>
    <t>194,996</t>
  </si>
  <si>
    <t>478,267</t>
  </si>
  <si>
    <t>93,574</t>
  </si>
  <si>
    <t>1,871,675</t>
  </si>
  <si>
    <t>Louw</t>
  </si>
  <si>
    <t>EVP, development (Greece)</t>
  </si>
  <si>
    <t>776,395</t>
  </si>
  <si>
    <t>912,219</t>
  </si>
  <si>
    <t>304,084</t>
  </si>
  <si>
    <t>646,265</t>
  </si>
  <si>
    <t>91,336</t>
  </si>
  <si>
    <t>2,730,299</t>
  </si>
  <si>
    <t>Simon</t>
  </si>
  <si>
    <t>Hille</t>
  </si>
  <si>
    <t>EVP, technical services and operations</t>
  </si>
  <si>
    <t>488,000</t>
  </si>
  <si>
    <t>548,987</t>
  </si>
  <si>
    <t>182,997</t>
  </si>
  <si>
    <t>448,960</t>
  </si>
  <si>
    <t>87,840</t>
  </si>
  <si>
    <t>1,756,784</t>
  </si>
  <si>
    <t>Frank</t>
  </si>
  <si>
    <t>Herbert</t>
  </si>
  <si>
    <t>EVP, counsel, chief compliance officer</t>
  </si>
  <si>
    <t>473,274</t>
  </si>
  <si>
    <t>532,448</t>
  </si>
  <si>
    <t>177,485</t>
  </si>
  <si>
    <t>435,412</t>
  </si>
  <si>
    <t>85,189</t>
  </si>
  <si>
    <t>1,703,808</t>
  </si>
  <si>
    <t xml:space="preserve">Philip </t>
  </si>
  <si>
    <t>Yee</t>
  </si>
  <si>
    <t>Former EVP and CFO</t>
  </si>
  <si>
    <t>4,375</t>
  </si>
  <si>
    <t>1,598,411</t>
  </si>
  <si>
    <t>1,602,786</t>
  </si>
  <si>
    <t>DiGiglio</t>
  </si>
  <si>
    <t>-49107330</t>
  </si>
  <si>
    <t xml:space="preserve">Village Farms International </t>
  </si>
  <si>
    <t>Agriculture</t>
  </si>
  <si>
    <t>1,032,729</t>
  </si>
  <si>
    <t>30,687</t>
  </si>
  <si>
    <t>42035.0526</t>
  </si>
  <si>
    <t>1,693,552</t>
  </si>
  <si>
    <t>2319827.53</t>
  </si>
  <si>
    <t>Nasdaq:VFF</t>
  </si>
  <si>
    <t>Jorge</t>
  </si>
  <si>
    <t>Ganoza Durant</t>
  </si>
  <si>
    <t>290683888.2</t>
  </si>
  <si>
    <t>Fortuna Mining Corp</t>
  </si>
  <si>
    <t>740,000</t>
  </si>
  <si>
    <t>1,819,414</t>
  </si>
  <si>
    <t>902,800</t>
  </si>
  <si>
    <t>55,331</t>
  </si>
  <si>
    <t>75792.4038</t>
  </si>
  <si>
    <t>3,517,546</t>
  </si>
  <si>
    <t>4818334.511</t>
  </si>
  <si>
    <t>TSX:FSM</t>
  </si>
  <si>
    <t xml:space="preserve">Luis </t>
  </si>
  <si>
    <t>510,000</t>
  </si>
  <si>
    <t>701,645</t>
  </si>
  <si>
    <t>505,523</t>
  </si>
  <si>
    <t>26,786</t>
  </si>
  <si>
    <t>36691.4628</t>
  </si>
  <si>
    <t>1,743,954</t>
  </si>
  <si>
    <t>2388868.189</t>
  </si>
  <si>
    <t>Neil</t>
  </si>
  <si>
    <t>Woodyer</t>
  </si>
  <si>
    <t>31904011.8</t>
  </si>
  <si>
    <t>Aris Mining Corp</t>
  </si>
  <si>
    <t>750,000</t>
  </si>
  <si>
    <t>562,500</t>
  </si>
  <si>
    <t>1,125,000</t>
  </si>
  <si>
    <t>3,000,000</t>
  </si>
  <si>
    <t>4109400</t>
  </si>
  <si>
    <t>TSX:ARIS</t>
  </si>
  <si>
    <t>Douglas</t>
  </si>
  <si>
    <t>Bowlby</t>
  </si>
  <si>
    <t>EVP</t>
  </si>
  <si>
    <t>375,000</t>
  </si>
  <si>
    <t>2,000,000</t>
  </si>
  <si>
    <t>2739600</t>
  </si>
  <si>
    <t>Thomas</t>
  </si>
  <si>
    <t>450,000</t>
  </si>
  <si>
    <t>337,500</t>
  </si>
  <si>
    <t>1,462,500</t>
  </si>
  <si>
    <t>2003332.5</t>
  </si>
  <si>
    <t>Lewins</t>
  </si>
  <si>
    <t>152354635.2</t>
  </si>
  <si>
    <t>K92 Mining</t>
  </si>
  <si>
    <t>796,950</t>
  </si>
  <si>
    <t>1,247,826</t>
  </si>
  <si>
    <t>728,516</t>
  </si>
  <si>
    <t>65,864</t>
  </si>
  <si>
    <t>90220.5072</t>
  </si>
  <si>
    <t>2,839,157</t>
  </si>
  <si>
    <t>3889077.259</t>
  </si>
  <si>
    <t>TSX:KNT</t>
  </si>
  <si>
    <t>Medilek</t>
  </si>
  <si>
    <t>COO and president</t>
  </si>
  <si>
    <t>420,538</t>
  </si>
  <si>
    <t>640,361</t>
  </si>
  <si>
    <t>384,617</t>
  </si>
  <si>
    <t>1,445,515</t>
  </si>
  <si>
    <t>1980066.447</t>
  </si>
  <si>
    <t>Jason</t>
  </si>
  <si>
    <t>Simpson</t>
  </si>
  <si>
    <t>121886173.8</t>
  </si>
  <si>
    <t>Orla Mining Ltd</t>
  </si>
  <si>
    <t>655,000</t>
  </si>
  <si>
    <t>848,200</t>
  </si>
  <si>
    <t>363,600</t>
  </si>
  <si>
    <t>1,179,000</t>
  </si>
  <si>
    <t>15,780</t>
  </si>
  <si>
    <t>3,061,580</t>
  </si>
  <si>
    <t>TSX:ORLA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</si>
</sst>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2"/>
  <sheetViews>
    <sheetView tabSelected="1" topLeftCell="A10" zoomScale="80" zoomScaleNormal="80" workbookViewId="0">
      <selection activeCell="AG10" sqref="AG10"/>
    </sheetView>
  </sheetViews>
  <sheetFormatPr defaultColWidth="8.6328125" defaultRowHeight="14.5" x14ac:dyDescent="0.35"/>
  <cols>
    <col min="1" max="1" width="13" customWidth="1"/>
    <col min="2" max="2" width="11.08984375" customWidth="1"/>
  </cols>
  <sheetData>
    <row r="1" spans="1:36" ht="14.25" customHeight="1" x14ac:dyDescent="0.3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25" customHeight="1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J2" s="2" t="str">
        <f t="shared" ref="J2:J33" si="0">IF(AND(ISNUMBER(H2),H2&lt;&gt;0),H2*1.3978,"")</f>
        <v/>
      </c>
      <c r="K2" t="s">
        <v>43</v>
      </c>
      <c r="M2">
        <v>0</v>
      </c>
      <c r="N2" s="2" t="str">
        <f t="shared" ref="N2:N33" si="1">IF(AND(ISNUMBER(L2),L2&lt;&gt;0),L2*1.3978,"")</f>
        <v/>
      </c>
      <c r="O2" t="s">
        <v>44</v>
      </c>
      <c r="Q2">
        <v>0</v>
      </c>
      <c r="R2" s="2" t="str">
        <f t="shared" ref="R2:R33" si="2">IF(AND(ISNUMBER(P2),P2&lt;&gt;0),P2*1.3978,"")</f>
        <v/>
      </c>
      <c r="S2">
        <v>0</v>
      </c>
      <c r="U2">
        <v>0</v>
      </c>
      <c r="V2" s="2" t="str">
        <f t="shared" ref="V2:V33" si="3">IF(AND(ISNUMBER(T2),T2&lt;&gt;0),T2*1.3978,"")</f>
        <v/>
      </c>
      <c r="W2" t="s">
        <v>45</v>
      </c>
      <c r="Y2">
        <v>0</v>
      </c>
      <c r="Z2" s="2" t="str">
        <f t="shared" ref="Z2:Z33" si="4">IF(AND(ISNUMBER(X2),X2&lt;&gt;0),X2*1.3978,"")</f>
        <v/>
      </c>
      <c r="AA2" t="s">
        <v>46</v>
      </c>
      <c r="AC2">
        <v>0</v>
      </c>
      <c r="AD2" s="2" t="str">
        <f t="shared" ref="AD2:AD33" si="5">IF(AND(ISNUMBER(AB2),AB2&lt;&gt;0),AB2*1.3978,"")</f>
        <v/>
      </c>
      <c r="AE2" t="s">
        <v>47</v>
      </c>
      <c r="AG2" s="2" t="str">
        <f t="shared" ref="AG2:AG33" si="6">IF(AND(ISNUMBER(AF2),AF2&lt;&gt;0),AF2*1.3978,"")</f>
        <v/>
      </c>
      <c r="AH2">
        <v>0</v>
      </c>
      <c r="AI2" t="s">
        <v>48</v>
      </c>
      <c r="AJ2" t="s">
        <v>49</v>
      </c>
    </row>
    <row r="3" spans="1:36" ht="14.25" customHeight="1" x14ac:dyDescent="0.35">
      <c r="A3" t="s">
        <v>50</v>
      </c>
      <c r="B3" t="s">
        <v>51</v>
      </c>
      <c r="D3" t="s">
        <v>52</v>
      </c>
      <c r="E3" t="s">
        <v>53</v>
      </c>
      <c r="F3" t="s">
        <v>41</v>
      </c>
      <c r="G3" t="s">
        <v>54</v>
      </c>
      <c r="J3" s="2" t="str">
        <f t="shared" si="0"/>
        <v/>
      </c>
      <c r="K3" t="s">
        <v>55</v>
      </c>
      <c r="N3" s="2" t="str">
        <f t="shared" si="1"/>
        <v/>
      </c>
      <c r="O3" t="s">
        <v>56</v>
      </c>
      <c r="R3" s="2" t="str">
        <f t="shared" si="2"/>
        <v/>
      </c>
      <c r="S3" t="s">
        <v>57</v>
      </c>
      <c r="V3" s="2" t="str">
        <f t="shared" si="3"/>
        <v/>
      </c>
      <c r="W3" t="s">
        <v>58</v>
      </c>
      <c r="Z3" s="2" t="str">
        <f t="shared" si="4"/>
        <v/>
      </c>
      <c r="AA3" t="s">
        <v>56</v>
      </c>
      <c r="AD3" s="2" t="str">
        <f t="shared" si="5"/>
        <v/>
      </c>
      <c r="AE3" t="s">
        <v>56</v>
      </c>
      <c r="AG3" s="2" t="str">
        <f t="shared" si="6"/>
        <v/>
      </c>
      <c r="AI3" t="s">
        <v>59</v>
      </c>
    </row>
    <row r="4" spans="1:36" ht="14.25" customHeight="1" x14ac:dyDescent="0.35">
      <c r="A4" t="s">
        <v>60</v>
      </c>
      <c r="B4" t="s">
        <v>61</v>
      </c>
      <c r="D4" t="s">
        <v>62</v>
      </c>
      <c r="E4" t="s">
        <v>63</v>
      </c>
      <c r="F4" t="s">
        <v>41</v>
      </c>
      <c r="G4" t="s">
        <v>64</v>
      </c>
      <c r="I4" t="s">
        <v>65</v>
      </c>
      <c r="J4" s="2" t="str">
        <f t="shared" si="0"/>
        <v/>
      </c>
      <c r="K4">
        <v>978844.0122</v>
      </c>
      <c r="M4" t="s">
        <v>66</v>
      </c>
      <c r="N4" s="2" t="str">
        <f t="shared" si="1"/>
        <v/>
      </c>
      <c r="Q4" t="s">
        <v>67</v>
      </c>
      <c r="R4" s="2" t="str">
        <f t="shared" si="2"/>
        <v/>
      </c>
      <c r="S4">
        <v>10579868.1</v>
      </c>
      <c r="U4" t="s">
        <v>68</v>
      </c>
      <c r="V4" s="2" t="str">
        <f t="shared" si="3"/>
        <v/>
      </c>
      <c r="W4">
        <v>582747.16500000004</v>
      </c>
      <c r="Z4" s="2" t="str">
        <f t="shared" si="4"/>
        <v/>
      </c>
      <c r="AA4">
        <v>0</v>
      </c>
      <c r="AC4" t="s">
        <v>69</v>
      </c>
      <c r="AD4" s="2" t="str">
        <f t="shared" si="5"/>
        <v/>
      </c>
      <c r="AE4" t="s">
        <v>70</v>
      </c>
      <c r="AG4" s="2" t="str">
        <f t="shared" si="6"/>
        <v/>
      </c>
      <c r="AH4" t="s">
        <v>71</v>
      </c>
      <c r="AI4" t="s">
        <v>72</v>
      </c>
      <c r="AJ4" t="s">
        <v>73</v>
      </c>
    </row>
    <row r="5" spans="1:36" ht="14.25" customHeight="1" x14ac:dyDescent="0.35">
      <c r="A5" t="s">
        <v>74</v>
      </c>
      <c r="B5" t="s">
        <v>75</v>
      </c>
      <c r="D5" t="s">
        <v>62</v>
      </c>
      <c r="E5" t="s">
        <v>63</v>
      </c>
      <c r="F5" t="s">
        <v>76</v>
      </c>
      <c r="G5" t="s">
        <v>64</v>
      </c>
      <c r="I5" t="s">
        <v>77</v>
      </c>
      <c r="J5" s="2" t="str">
        <f t="shared" si="0"/>
        <v/>
      </c>
      <c r="K5">
        <v>671202</v>
      </c>
      <c r="M5" t="s">
        <v>78</v>
      </c>
      <c r="N5" s="2" t="str">
        <f t="shared" si="1"/>
        <v/>
      </c>
      <c r="Q5" t="s">
        <v>79</v>
      </c>
      <c r="R5" s="2" t="str">
        <f t="shared" si="2"/>
        <v/>
      </c>
      <c r="S5">
        <v>4231946.4170000004</v>
      </c>
      <c r="U5" t="s">
        <v>80</v>
      </c>
      <c r="V5" s="2" t="str">
        <f t="shared" si="3"/>
        <v/>
      </c>
      <c r="W5">
        <v>228208.68</v>
      </c>
      <c r="Z5" s="2" t="str">
        <f t="shared" si="4"/>
        <v/>
      </c>
      <c r="AA5">
        <v>0</v>
      </c>
      <c r="AC5" t="s">
        <v>81</v>
      </c>
      <c r="AD5" s="2" t="str">
        <f t="shared" si="5"/>
        <v/>
      </c>
      <c r="AE5" t="s">
        <v>82</v>
      </c>
      <c r="AG5" s="2" t="str">
        <f t="shared" si="6"/>
        <v/>
      </c>
      <c r="AH5" t="s">
        <v>83</v>
      </c>
      <c r="AI5" t="s">
        <v>84</v>
      </c>
      <c r="AJ5" t="s">
        <v>73</v>
      </c>
    </row>
    <row r="6" spans="1:36" ht="14.25" customHeight="1" x14ac:dyDescent="0.35">
      <c r="A6" t="s">
        <v>85</v>
      </c>
      <c r="B6" t="s">
        <v>86</v>
      </c>
      <c r="D6" t="s">
        <v>62</v>
      </c>
      <c r="E6" t="s">
        <v>63</v>
      </c>
      <c r="F6" t="s">
        <v>87</v>
      </c>
      <c r="G6" t="s">
        <v>64</v>
      </c>
      <c r="I6" t="s">
        <v>88</v>
      </c>
      <c r="J6" s="2" t="str">
        <f t="shared" si="0"/>
        <v/>
      </c>
      <c r="K6">
        <v>739692</v>
      </c>
      <c r="M6" t="s">
        <v>78</v>
      </c>
      <c r="N6" s="2" t="str">
        <f t="shared" si="1"/>
        <v/>
      </c>
      <c r="Q6" t="s">
        <v>79</v>
      </c>
      <c r="R6" s="2" t="str">
        <f t="shared" si="2"/>
        <v/>
      </c>
      <c r="S6">
        <v>4231946.4170000004</v>
      </c>
      <c r="U6" t="s">
        <v>89</v>
      </c>
      <c r="V6" s="2" t="str">
        <f t="shared" si="3"/>
        <v/>
      </c>
      <c r="W6">
        <v>282932.19</v>
      </c>
      <c r="Z6" s="2" t="str">
        <f t="shared" si="4"/>
        <v/>
      </c>
      <c r="AA6">
        <v>0</v>
      </c>
      <c r="AC6" t="s">
        <v>90</v>
      </c>
      <c r="AD6" s="2" t="str">
        <f t="shared" si="5"/>
        <v/>
      </c>
      <c r="AE6" t="s">
        <v>91</v>
      </c>
      <c r="AG6" s="2" t="str">
        <f t="shared" si="6"/>
        <v/>
      </c>
      <c r="AH6" t="s">
        <v>92</v>
      </c>
      <c r="AI6" t="s">
        <v>93</v>
      </c>
      <c r="AJ6" t="s">
        <v>73</v>
      </c>
    </row>
    <row r="7" spans="1:36" ht="14.25" customHeight="1" x14ac:dyDescent="0.35">
      <c r="A7" t="s">
        <v>85</v>
      </c>
      <c r="B7" t="s">
        <v>94</v>
      </c>
      <c r="D7" t="s">
        <v>62</v>
      </c>
      <c r="E7" t="s">
        <v>63</v>
      </c>
      <c r="F7" t="s">
        <v>95</v>
      </c>
      <c r="G7" t="s">
        <v>64</v>
      </c>
      <c r="I7" t="s">
        <v>96</v>
      </c>
      <c r="J7" s="2" t="str">
        <f t="shared" si="0"/>
        <v/>
      </c>
      <c r="K7">
        <v>657504</v>
      </c>
      <c r="M7" t="s">
        <v>78</v>
      </c>
      <c r="N7" s="2" t="str">
        <f t="shared" si="1"/>
        <v/>
      </c>
      <c r="Q7" t="s">
        <v>79</v>
      </c>
      <c r="R7" s="2" t="str">
        <f t="shared" si="2"/>
        <v/>
      </c>
      <c r="S7">
        <v>4231946.4170000004</v>
      </c>
      <c r="U7" t="s">
        <v>97</v>
      </c>
      <c r="V7" s="2" t="str">
        <f t="shared" si="3"/>
        <v/>
      </c>
      <c r="W7">
        <v>223551.35999999999</v>
      </c>
      <c r="Z7" s="2" t="str">
        <f t="shared" si="4"/>
        <v/>
      </c>
      <c r="AA7">
        <v>0</v>
      </c>
      <c r="AC7" t="s">
        <v>98</v>
      </c>
      <c r="AD7" s="2" t="str">
        <f t="shared" si="5"/>
        <v/>
      </c>
      <c r="AE7" t="s">
        <v>99</v>
      </c>
      <c r="AG7" s="2" t="str">
        <f t="shared" si="6"/>
        <v/>
      </c>
      <c r="AH7" t="s">
        <v>100</v>
      </c>
      <c r="AI7" t="s">
        <v>101</v>
      </c>
      <c r="AJ7" t="s">
        <v>73</v>
      </c>
    </row>
    <row r="8" spans="1:36" ht="14.25" customHeight="1" x14ac:dyDescent="0.35">
      <c r="A8" t="s">
        <v>102</v>
      </c>
      <c r="B8" t="s">
        <v>103</v>
      </c>
      <c r="D8" t="s">
        <v>104</v>
      </c>
      <c r="E8" t="s">
        <v>105</v>
      </c>
      <c r="F8" t="s">
        <v>106</v>
      </c>
      <c r="J8" s="2" t="str">
        <f t="shared" si="0"/>
        <v/>
      </c>
      <c r="K8" t="s">
        <v>107</v>
      </c>
      <c r="N8" s="2" t="str">
        <f t="shared" si="1"/>
        <v/>
      </c>
      <c r="O8" t="s">
        <v>108</v>
      </c>
      <c r="R8" s="2" t="str">
        <f t="shared" si="2"/>
        <v/>
      </c>
      <c r="V8" s="2" t="str">
        <f t="shared" si="3"/>
        <v/>
      </c>
      <c r="W8" t="s">
        <v>109</v>
      </c>
      <c r="Z8" s="2" t="str">
        <f t="shared" si="4"/>
        <v/>
      </c>
      <c r="AD8" s="2" t="str">
        <f t="shared" si="5"/>
        <v/>
      </c>
      <c r="AE8" t="s">
        <v>110</v>
      </c>
      <c r="AG8" s="2" t="str">
        <f t="shared" si="6"/>
        <v/>
      </c>
      <c r="AI8" t="s">
        <v>111</v>
      </c>
      <c r="AJ8" t="s">
        <v>112</v>
      </c>
    </row>
    <row r="9" spans="1:36" ht="14.25" customHeight="1" x14ac:dyDescent="0.35">
      <c r="A9" t="s">
        <v>113</v>
      </c>
      <c r="B9" t="s">
        <v>114</v>
      </c>
      <c r="D9" t="s">
        <v>115</v>
      </c>
      <c r="E9" t="s">
        <v>116</v>
      </c>
      <c r="F9" t="s">
        <v>41</v>
      </c>
      <c r="G9" t="s">
        <v>117</v>
      </c>
      <c r="J9" s="2" t="str">
        <f t="shared" si="0"/>
        <v/>
      </c>
      <c r="K9" t="s">
        <v>118</v>
      </c>
      <c r="N9" s="2" t="str">
        <f t="shared" si="1"/>
        <v/>
      </c>
      <c r="O9" t="s">
        <v>119</v>
      </c>
      <c r="R9" s="2" t="str">
        <f t="shared" si="2"/>
        <v/>
      </c>
      <c r="V9" s="2" t="str">
        <f t="shared" si="3"/>
        <v/>
      </c>
      <c r="W9" t="s">
        <v>120</v>
      </c>
      <c r="Z9" s="2" t="str">
        <f t="shared" si="4"/>
        <v/>
      </c>
      <c r="AA9" t="s">
        <v>121</v>
      </c>
      <c r="AD9" s="2" t="str">
        <f t="shared" si="5"/>
        <v/>
      </c>
      <c r="AG9" s="2" t="str">
        <f t="shared" si="6"/>
        <v/>
      </c>
      <c r="AI9" t="s">
        <v>122</v>
      </c>
      <c r="AJ9" t="s">
        <v>123</v>
      </c>
    </row>
    <row r="10" spans="1:36" ht="14.25" customHeight="1" x14ac:dyDescent="0.35">
      <c r="A10" t="s">
        <v>124</v>
      </c>
      <c r="B10" t="s">
        <v>125</v>
      </c>
      <c r="D10" t="s">
        <v>126</v>
      </c>
      <c r="E10" t="s">
        <v>127</v>
      </c>
      <c r="F10" t="s">
        <v>41</v>
      </c>
      <c r="G10" t="s">
        <v>128</v>
      </c>
      <c r="J10" s="2" t="str">
        <f t="shared" si="0"/>
        <v/>
      </c>
      <c r="K10" t="s">
        <v>129</v>
      </c>
      <c r="N10" s="2" t="str">
        <f t="shared" si="1"/>
        <v/>
      </c>
      <c r="O10" t="s">
        <v>130</v>
      </c>
      <c r="R10" s="2" t="str">
        <f t="shared" si="2"/>
        <v/>
      </c>
      <c r="V10" s="2" t="str">
        <f t="shared" si="3"/>
        <v/>
      </c>
      <c r="W10" t="s">
        <v>131</v>
      </c>
      <c r="Z10" s="2" t="str">
        <f t="shared" si="4"/>
        <v/>
      </c>
      <c r="AD10" s="2" t="str">
        <f t="shared" si="5"/>
        <v/>
      </c>
      <c r="AE10" t="s">
        <v>132</v>
      </c>
      <c r="AG10" s="2" t="str">
        <f t="shared" si="6"/>
        <v/>
      </c>
      <c r="AI10" t="s">
        <v>133</v>
      </c>
      <c r="AJ10" t="s">
        <v>134</v>
      </c>
    </row>
    <row r="11" spans="1:36" ht="14.25" customHeight="1" x14ac:dyDescent="0.35">
      <c r="A11" t="s">
        <v>135</v>
      </c>
      <c r="B11" t="s">
        <v>136</v>
      </c>
      <c r="D11" t="s">
        <v>137</v>
      </c>
      <c r="E11" t="s">
        <v>138</v>
      </c>
      <c r="F11" t="s">
        <v>41</v>
      </c>
      <c r="G11" t="s">
        <v>139</v>
      </c>
      <c r="J11" s="2" t="str">
        <f t="shared" si="0"/>
        <v/>
      </c>
      <c r="K11" t="s">
        <v>140</v>
      </c>
      <c r="N11" s="2" t="str">
        <f t="shared" si="1"/>
        <v/>
      </c>
      <c r="O11" t="s">
        <v>141</v>
      </c>
      <c r="R11" s="2" t="str">
        <f t="shared" si="2"/>
        <v/>
      </c>
      <c r="S11" t="s">
        <v>142</v>
      </c>
      <c r="V11" s="2" t="str">
        <f t="shared" si="3"/>
        <v/>
      </c>
      <c r="W11" t="s">
        <v>143</v>
      </c>
      <c r="Z11" s="2" t="str">
        <f t="shared" si="4"/>
        <v/>
      </c>
      <c r="AA11" t="s">
        <v>144</v>
      </c>
      <c r="AD11" s="2" t="str">
        <f t="shared" si="5"/>
        <v/>
      </c>
      <c r="AG11" s="2" t="str">
        <f t="shared" si="6"/>
        <v/>
      </c>
      <c r="AI11" t="s">
        <v>145</v>
      </c>
      <c r="AJ11" t="s">
        <v>146</v>
      </c>
    </row>
    <row r="12" spans="1:36" ht="14.25" customHeight="1" x14ac:dyDescent="0.35">
      <c r="A12" t="s">
        <v>147</v>
      </c>
      <c r="B12" t="s">
        <v>148</v>
      </c>
      <c r="D12" t="s">
        <v>149</v>
      </c>
      <c r="E12" t="s">
        <v>150</v>
      </c>
      <c r="F12" t="s">
        <v>41</v>
      </c>
      <c r="G12" t="s">
        <v>151</v>
      </c>
      <c r="J12" s="2" t="str">
        <f t="shared" si="0"/>
        <v/>
      </c>
      <c r="K12" t="s">
        <v>152</v>
      </c>
      <c r="N12" s="2" t="str">
        <f t="shared" si="1"/>
        <v/>
      </c>
      <c r="O12" t="s">
        <v>153</v>
      </c>
      <c r="R12" s="2" t="str">
        <f t="shared" si="2"/>
        <v/>
      </c>
      <c r="S12" t="s">
        <v>154</v>
      </c>
      <c r="V12" s="2" t="str">
        <f t="shared" si="3"/>
        <v/>
      </c>
      <c r="W12" t="s">
        <v>155</v>
      </c>
      <c r="Z12" s="2" t="str">
        <f t="shared" si="4"/>
        <v/>
      </c>
      <c r="AA12" t="s">
        <v>156</v>
      </c>
      <c r="AD12" s="2" t="str">
        <f t="shared" si="5"/>
        <v/>
      </c>
      <c r="AE12" t="s">
        <v>157</v>
      </c>
      <c r="AG12" s="2" t="str">
        <f t="shared" si="6"/>
        <v/>
      </c>
      <c r="AI12" t="s">
        <v>158</v>
      </c>
      <c r="AJ12" t="s">
        <v>159</v>
      </c>
    </row>
    <row r="13" spans="1:36" ht="14.25" customHeight="1" x14ac:dyDescent="0.35">
      <c r="A13" t="s">
        <v>160</v>
      </c>
      <c r="B13" t="s">
        <v>161</v>
      </c>
      <c r="D13" t="s">
        <v>162</v>
      </c>
      <c r="E13" t="s">
        <v>163</v>
      </c>
      <c r="F13" t="s">
        <v>106</v>
      </c>
      <c r="G13" t="s">
        <v>164</v>
      </c>
      <c r="J13" s="2" t="str">
        <f t="shared" si="0"/>
        <v/>
      </c>
      <c r="K13" t="s">
        <v>165</v>
      </c>
      <c r="N13" s="2" t="str">
        <f t="shared" si="1"/>
        <v/>
      </c>
      <c r="O13" t="s">
        <v>166</v>
      </c>
      <c r="R13" s="2" t="str">
        <f t="shared" si="2"/>
        <v/>
      </c>
      <c r="V13" s="2" t="str">
        <f t="shared" si="3"/>
        <v/>
      </c>
      <c r="W13" t="s">
        <v>167</v>
      </c>
      <c r="Z13" s="2" t="str">
        <f t="shared" si="4"/>
        <v/>
      </c>
      <c r="AD13" s="2" t="str">
        <f t="shared" si="5"/>
        <v/>
      </c>
      <c r="AE13" t="s">
        <v>168</v>
      </c>
      <c r="AG13" s="2" t="str">
        <f t="shared" si="6"/>
        <v/>
      </c>
      <c r="AI13" t="s">
        <v>169</v>
      </c>
      <c r="AJ13" t="s">
        <v>170</v>
      </c>
    </row>
    <row r="14" spans="1:36" ht="14.25" customHeight="1" x14ac:dyDescent="0.35">
      <c r="A14" t="s">
        <v>171</v>
      </c>
      <c r="B14" t="s">
        <v>172</v>
      </c>
      <c r="D14">
        <v>-35398371.600000001</v>
      </c>
      <c r="E14" t="s">
        <v>173</v>
      </c>
      <c r="F14" t="s">
        <v>41</v>
      </c>
      <c r="G14" t="s">
        <v>174</v>
      </c>
      <c r="I14" t="s">
        <v>175</v>
      </c>
      <c r="J14" s="2" t="str">
        <f t="shared" si="0"/>
        <v/>
      </c>
      <c r="K14">
        <v>1175082.93</v>
      </c>
      <c r="M14" t="s">
        <v>176</v>
      </c>
      <c r="N14" s="2" t="str">
        <f t="shared" si="1"/>
        <v/>
      </c>
      <c r="Q14" t="s">
        <v>177</v>
      </c>
      <c r="R14" s="2" t="str">
        <f t="shared" si="2"/>
        <v/>
      </c>
      <c r="S14">
        <v>2153733.7999999998</v>
      </c>
      <c r="U14" t="s">
        <v>178</v>
      </c>
      <c r="V14" s="2" t="str">
        <f t="shared" si="3"/>
        <v/>
      </c>
      <c r="W14">
        <v>1358811.4639999999</v>
      </c>
      <c r="Z14" s="2" t="str">
        <f t="shared" si="4"/>
        <v/>
      </c>
      <c r="AA14">
        <v>0</v>
      </c>
      <c r="AC14" t="s">
        <v>179</v>
      </c>
      <c r="AD14" s="2" t="str">
        <f t="shared" si="5"/>
        <v/>
      </c>
      <c r="AE14" t="s">
        <v>180</v>
      </c>
      <c r="AG14" s="2" t="str">
        <f t="shared" si="6"/>
        <v/>
      </c>
      <c r="AH14" t="s">
        <v>181</v>
      </c>
      <c r="AI14" t="s">
        <v>182</v>
      </c>
    </row>
    <row r="15" spans="1:36" ht="14.25" customHeight="1" x14ac:dyDescent="0.35">
      <c r="A15" t="s">
        <v>183</v>
      </c>
      <c r="B15" t="s">
        <v>184</v>
      </c>
      <c r="D15" t="s">
        <v>185</v>
      </c>
      <c r="E15" t="s">
        <v>186</v>
      </c>
      <c r="F15" t="s">
        <v>187</v>
      </c>
      <c r="G15" t="s">
        <v>188</v>
      </c>
      <c r="I15" t="s">
        <v>189</v>
      </c>
      <c r="J15" s="2" t="str">
        <f t="shared" si="0"/>
        <v/>
      </c>
      <c r="K15">
        <v>1510067.52</v>
      </c>
      <c r="M15" t="s">
        <v>190</v>
      </c>
      <c r="N15" s="2" t="str">
        <f t="shared" si="1"/>
        <v/>
      </c>
      <c r="Q15" t="s">
        <v>191</v>
      </c>
      <c r="R15" s="2" t="str">
        <f t="shared" si="2"/>
        <v/>
      </c>
      <c r="S15">
        <v>1132550.6399999999</v>
      </c>
      <c r="U15" t="s">
        <v>192</v>
      </c>
      <c r="V15" s="2" t="str">
        <f t="shared" si="3"/>
        <v/>
      </c>
      <c r="W15">
        <v>1585570.8959999999</v>
      </c>
      <c r="Z15" s="2" t="str">
        <f t="shared" si="4"/>
        <v/>
      </c>
      <c r="AA15">
        <v>0</v>
      </c>
      <c r="AD15" s="2" t="str">
        <f t="shared" si="5"/>
        <v/>
      </c>
      <c r="AE15" t="s">
        <v>56</v>
      </c>
      <c r="AG15" s="2" t="str">
        <f t="shared" si="6"/>
        <v/>
      </c>
      <c r="AH15" t="s">
        <v>193</v>
      </c>
      <c r="AI15" t="s">
        <v>194</v>
      </c>
      <c r="AJ15" t="s">
        <v>195</v>
      </c>
    </row>
    <row r="16" spans="1:36" ht="14.25" customHeight="1" x14ac:dyDescent="0.35">
      <c r="A16" t="s">
        <v>196</v>
      </c>
      <c r="B16" t="s">
        <v>197</v>
      </c>
      <c r="D16" t="s">
        <v>185</v>
      </c>
      <c r="E16" t="s">
        <v>186</v>
      </c>
      <c r="F16" t="s">
        <v>198</v>
      </c>
      <c r="G16" t="s">
        <v>188</v>
      </c>
      <c r="I16" t="s">
        <v>199</v>
      </c>
      <c r="J16" s="2" t="str">
        <f t="shared" si="0"/>
        <v/>
      </c>
      <c r="K16">
        <v>871192.8</v>
      </c>
      <c r="M16" t="s">
        <v>200</v>
      </c>
      <c r="N16" s="2" t="str">
        <f t="shared" si="1"/>
        <v/>
      </c>
      <c r="Q16" t="s">
        <v>201</v>
      </c>
      <c r="R16" s="2" t="str">
        <f t="shared" si="2"/>
        <v/>
      </c>
      <c r="S16">
        <v>539050.54500000004</v>
      </c>
      <c r="U16" t="s">
        <v>202</v>
      </c>
      <c r="V16" s="2" t="str">
        <f t="shared" si="3"/>
        <v/>
      </c>
      <c r="W16">
        <v>901684.54799999995</v>
      </c>
      <c r="Z16" s="2" t="str">
        <f t="shared" si="4"/>
        <v/>
      </c>
      <c r="AA16">
        <v>0</v>
      </c>
      <c r="AD16" s="2" t="str">
        <f t="shared" si="5"/>
        <v/>
      </c>
      <c r="AE16" t="s">
        <v>56</v>
      </c>
      <c r="AG16" s="2" t="str">
        <f t="shared" si="6"/>
        <v/>
      </c>
      <c r="AH16" t="s">
        <v>203</v>
      </c>
      <c r="AI16" t="s">
        <v>204</v>
      </c>
      <c r="AJ16" t="s">
        <v>195</v>
      </c>
    </row>
    <row r="17" spans="1:36" ht="14.25" customHeight="1" x14ac:dyDescent="0.35">
      <c r="A17" t="s">
        <v>205</v>
      </c>
      <c r="B17" t="s">
        <v>206</v>
      </c>
      <c r="D17" t="s">
        <v>207</v>
      </c>
      <c r="E17" t="s">
        <v>208</v>
      </c>
      <c r="F17" t="s">
        <v>106</v>
      </c>
      <c r="G17" t="s">
        <v>209</v>
      </c>
      <c r="I17" t="s">
        <v>210</v>
      </c>
      <c r="J17" s="2" t="str">
        <f t="shared" si="0"/>
        <v/>
      </c>
      <c r="K17">
        <v>832043.91599999997</v>
      </c>
      <c r="M17" t="s">
        <v>211</v>
      </c>
      <c r="N17" s="2" t="str">
        <f t="shared" si="1"/>
        <v/>
      </c>
      <c r="R17" s="2" t="str">
        <f t="shared" si="2"/>
        <v/>
      </c>
      <c r="S17">
        <v>0</v>
      </c>
      <c r="U17" t="s">
        <v>212</v>
      </c>
      <c r="V17" s="2" t="str">
        <f t="shared" si="3"/>
        <v/>
      </c>
      <c r="W17">
        <v>783509.16240000003</v>
      </c>
      <c r="Y17" t="s">
        <v>213</v>
      </c>
      <c r="Z17" s="2" t="str">
        <f t="shared" si="4"/>
        <v/>
      </c>
      <c r="AA17">
        <v>97313.331600000005</v>
      </c>
      <c r="AC17" t="s">
        <v>214</v>
      </c>
      <c r="AD17" s="2" t="str">
        <f t="shared" si="5"/>
        <v/>
      </c>
      <c r="AE17" t="s">
        <v>215</v>
      </c>
      <c r="AG17" s="2" t="str">
        <f t="shared" si="6"/>
        <v/>
      </c>
      <c r="AH17" t="s">
        <v>216</v>
      </c>
      <c r="AI17" t="s">
        <v>217</v>
      </c>
      <c r="AJ17" t="s">
        <v>218</v>
      </c>
    </row>
    <row r="18" spans="1:36" ht="14.25" customHeight="1" x14ac:dyDescent="0.35">
      <c r="A18" t="s">
        <v>219</v>
      </c>
      <c r="B18" t="s">
        <v>220</v>
      </c>
      <c r="D18" t="s">
        <v>207</v>
      </c>
      <c r="E18" t="s">
        <v>208</v>
      </c>
      <c r="F18" t="s">
        <v>221</v>
      </c>
      <c r="G18" t="s">
        <v>209</v>
      </c>
      <c r="I18" t="s">
        <v>222</v>
      </c>
      <c r="J18" s="2" t="str">
        <f t="shared" si="0"/>
        <v/>
      </c>
      <c r="K18">
        <v>778727.19059999997</v>
      </c>
      <c r="M18" t="s">
        <v>223</v>
      </c>
      <c r="N18" s="2" t="str">
        <f t="shared" si="1"/>
        <v/>
      </c>
      <c r="R18" s="2" t="str">
        <f t="shared" si="2"/>
        <v/>
      </c>
      <c r="S18">
        <v>0</v>
      </c>
      <c r="U18" t="s">
        <v>224</v>
      </c>
      <c r="V18" s="2" t="str">
        <f t="shared" si="3"/>
        <v/>
      </c>
      <c r="W18">
        <v>733301.88300000003</v>
      </c>
      <c r="Y18" t="s">
        <v>225</v>
      </c>
      <c r="Z18" s="2" t="str">
        <f t="shared" si="4"/>
        <v/>
      </c>
      <c r="AA18">
        <v>235606.96979999999</v>
      </c>
      <c r="AC18" t="s">
        <v>226</v>
      </c>
      <c r="AD18" s="2" t="str">
        <f t="shared" si="5"/>
        <v/>
      </c>
      <c r="AE18" t="s">
        <v>227</v>
      </c>
      <c r="AG18" s="2" t="str">
        <f t="shared" si="6"/>
        <v/>
      </c>
      <c r="AH18" t="s">
        <v>228</v>
      </c>
      <c r="AI18" t="s">
        <v>229</v>
      </c>
      <c r="AJ18" t="s">
        <v>218</v>
      </c>
    </row>
    <row r="19" spans="1:36" ht="14.25" customHeight="1" x14ac:dyDescent="0.35">
      <c r="A19" t="s">
        <v>230</v>
      </c>
      <c r="B19" t="s">
        <v>231</v>
      </c>
      <c r="D19" t="s">
        <v>39</v>
      </c>
      <c r="E19" t="s">
        <v>40</v>
      </c>
      <c r="F19" t="s">
        <v>232</v>
      </c>
      <c r="G19" t="s">
        <v>42</v>
      </c>
      <c r="J19" s="2" t="str">
        <f t="shared" si="0"/>
        <v/>
      </c>
      <c r="K19" t="s">
        <v>233</v>
      </c>
      <c r="N19" s="2" t="str">
        <f t="shared" si="1"/>
        <v/>
      </c>
      <c r="O19" t="s">
        <v>234</v>
      </c>
      <c r="R19" s="2" t="str">
        <f t="shared" si="2"/>
        <v/>
      </c>
      <c r="V19" s="2" t="str">
        <f t="shared" si="3"/>
        <v/>
      </c>
      <c r="W19" t="s">
        <v>235</v>
      </c>
      <c r="Z19" s="2" t="str">
        <f t="shared" si="4"/>
        <v/>
      </c>
      <c r="AA19" t="s">
        <v>236</v>
      </c>
      <c r="AD19" s="2" t="str">
        <f t="shared" si="5"/>
        <v/>
      </c>
      <c r="AE19" t="s">
        <v>237</v>
      </c>
      <c r="AG19" s="2" t="str">
        <f t="shared" si="6"/>
        <v/>
      </c>
      <c r="AI19" t="s">
        <v>238</v>
      </c>
      <c r="AJ19" t="s">
        <v>49</v>
      </c>
    </row>
    <row r="20" spans="1:36" ht="14.25" customHeight="1" x14ac:dyDescent="0.35">
      <c r="A20" t="s">
        <v>239</v>
      </c>
      <c r="B20" t="s">
        <v>240</v>
      </c>
      <c r="D20" t="s">
        <v>241</v>
      </c>
      <c r="E20" t="s">
        <v>242</v>
      </c>
      <c r="F20" t="s">
        <v>41</v>
      </c>
      <c r="G20" t="s">
        <v>128</v>
      </c>
      <c r="J20" s="2" t="str">
        <f t="shared" si="0"/>
        <v/>
      </c>
      <c r="K20" t="s">
        <v>243</v>
      </c>
      <c r="N20" s="2" t="str">
        <f t="shared" si="1"/>
        <v/>
      </c>
      <c r="O20" t="s">
        <v>244</v>
      </c>
      <c r="R20" s="2" t="str">
        <f t="shared" si="2"/>
        <v/>
      </c>
      <c r="V20" s="2" t="str">
        <f t="shared" si="3"/>
        <v/>
      </c>
      <c r="W20" t="s">
        <v>245</v>
      </c>
      <c r="Z20" s="2" t="str">
        <f t="shared" si="4"/>
        <v/>
      </c>
      <c r="AD20" s="2" t="str">
        <f t="shared" si="5"/>
        <v/>
      </c>
      <c r="AE20" t="s">
        <v>246</v>
      </c>
      <c r="AG20" s="2" t="str">
        <f t="shared" si="6"/>
        <v/>
      </c>
      <c r="AI20" t="s">
        <v>247</v>
      </c>
      <c r="AJ20" t="s">
        <v>248</v>
      </c>
    </row>
    <row r="21" spans="1:36" ht="14.25" customHeight="1" x14ac:dyDescent="0.35">
      <c r="A21" t="s">
        <v>249</v>
      </c>
      <c r="B21" t="s">
        <v>250</v>
      </c>
      <c r="D21" t="s">
        <v>39</v>
      </c>
      <c r="E21" t="s">
        <v>40</v>
      </c>
      <c r="F21" t="s">
        <v>251</v>
      </c>
      <c r="G21" t="s">
        <v>42</v>
      </c>
      <c r="J21" s="2" t="str">
        <f t="shared" si="0"/>
        <v/>
      </c>
      <c r="K21" t="s">
        <v>233</v>
      </c>
      <c r="N21" s="2" t="str">
        <f t="shared" si="1"/>
        <v/>
      </c>
      <c r="O21" t="s">
        <v>234</v>
      </c>
      <c r="R21" s="2" t="str">
        <f t="shared" si="2"/>
        <v/>
      </c>
      <c r="V21" s="2" t="str">
        <f t="shared" si="3"/>
        <v/>
      </c>
      <c r="W21" t="s">
        <v>235</v>
      </c>
      <c r="Z21" s="2" t="str">
        <f t="shared" si="4"/>
        <v/>
      </c>
      <c r="AA21" t="s">
        <v>252</v>
      </c>
      <c r="AD21" s="2" t="str">
        <f t="shared" si="5"/>
        <v/>
      </c>
      <c r="AE21" t="s">
        <v>253</v>
      </c>
      <c r="AG21" s="2" t="str">
        <f t="shared" si="6"/>
        <v/>
      </c>
      <c r="AI21" t="s">
        <v>254</v>
      </c>
      <c r="AJ21" t="s">
        <v>49</v>
      </c>
    </row>
    <row r="22" spans="1:36" ht="14.25" customHeight="1" x14ac:dyDescent="0.35">
      <c r="A22" t="s">
        <v>255</v>
      </c>
      <c r="B22" t="s">
        <v>256</v>
      </c>
      <c r="D22" t="s">
        <v>39</v>
      </c>
      <c r="E22" t="s">
        <v>40</v>
      </c>
      <c r="F22" t="s">
        <v>257</v>
      </c>
      <c r="G22" t="s">
        <v>42</v>
      </c>
      <c r="J22" s="2" t="str">
        <f t="shared" si="0"/>
        <v/>
      </c>
      <c r="K22" t="s">
        <v>258</v>
      </c>
      <c r="N22" s="2" t="str">
        <f t="shared" si="1"/>
        <v/>
      </c>
      <c r="O22" t="s">
        <v>259</v>
      </c>
      <c r="R22" s="2" t="str">
        <f t="shared" si="2"/>
        <v/>
      </c>
      <c r="V22" s="2" t="str">
        <f t="shared" si="3"/>
        <v/>
      </c>
      <c r="W22" t="s">
        <v>260</v>
      </c>
      <c r="Z22" s="2" t="str">
        <f t="shared" si="4"/>
        <v/>
      </c>
      <c r="AA22" t="s">
        <v>261</v>
      </c>
      <c r="AD22" s="2" t="str">
        <f t="shared" si="5"/>
        <v/>
      </c>
      <c r="AE22" t="s">
        <v>262</v>
      </c>
      <c r="AG22" s="2" t="str">
        <f t="shared" si="6"/>
        <v/>
      </c>
      <c r="AI22" t="s">
        <v>263</v>
      </c>
      <c r="AJ22" t="s">
        <v>49</v>
      </c>
    </row>
    <row r="23" spans="1:36" ht="14.25" customHeight="1" x14ac:dyDescent="0.35">
      <c r="A23" t="s">
        <v>264</v>
      </c>
      <c r="B23" t="s">
        <v>265</v>
      </c>
      <c r="D23" t="s">
        <v>185</v>
      </c>
      <c r="E23" t="s">
        <v>186</v>
      </c>
      <c r="F23" t="s">
        <v>266</v>
      </c>
      <c r="I23" t="s">
        <v>267</v>
      </c>
      <c r="J23" s="2" t="str">
        <f t="shared" si="0"/>
        <v/>
      </c>
      <c r="K23">
        <v>1283557.392</v>
      </c>
      <c r="M23" t="s">
        <v>268</v>
      </c>
      <c r="N23" s="2" t="str">
        <f t="shared" si="1"/>
        <v/>
      </c>
      <c r="O23" t="s">
        <v>133</v>
      </c>
      <c r="Q23" t="s">
        <v>269</v>
      </c>
      <c r="R23" s="2" t="str">
        <f t="shared" si="2"/>
        <v/>
      </c>
      <c r="S23">
        <v>962668.04399999999</v>
      </c>
      <c r="U23" t="s">
        <v>270</v>
      </c>
      <c r="V23" s="2" t="str">
        <f t="shared" si="3"/>
        <v/>
      </c>
      <c r="W23">
        <v>1476091.0009999999</v>
      </c>
      <c r="Z23" s="2" t="str">
        <f t="shared" si="4"/>
        <v/>
      </c>
      <c r="AA23">
        <v>0</v>
      </c>
      <c r="AC23" t="s">
        <v>271</v>
      </c>
      <c r="AD23" s="2" t="str">
        <f t="shared" si="5"/>
        <v/>
      </c>
      <c r="AE23" t="s">
        <v>272</v>
      </c>
      <c r="AG23" s="2" t="str">
        <f t="shared" si="6"/>
        <v/>
      </c>
      <c r="AJ23" t="s">
        <v>195</v>
      </c>
    </row>
    <row r="24" spans="1:36" ht="14.25" customHeight="1" x14ac:dyDescent="0.35">
      <c r="A24" t="s">
        <v>273</v>
      </c>
      <c r="B24" t="s">
        <v>274</v>
      </c>
      <c r="D24" t="s">
        <v>162</v>
      </c>
      <c r="E24" t="s">
        <v>163</v>
      </c>
      <c r="F24" t="s">
        <v>275</v>
      </c>
      <c r="G24" t="s">
        <v>276</v>
      </c>
      <c r="J24" s="2" t="str">
        <f t="shared" si="0"/>
        <v/>
      </c>
      <c r="K24" t="s">
        <v>277</v>
      </c>
      <c r="N24" s="2" t="str">
        <f t="shared" si="1"/>
        <v/>
      </c>
      <c r="O24" t="s">
        <v>278</v>
      </c>
      <c r="R24" s="2" t="str">
        <f t="shared" si="2"/>
        <v/>
      </c>
      <c r="V24" s="2" t="str">
        <f t="shared" si="3"/>
        <v/>
      </c>
      <c r="W24" t="s">
        <v>279</v>
      </c>
      <c r="Z24" s="2" t="str">
        <f t="shared" si="4"/>
        <v/>
      </c>
      <c r="AD24" s="2" t="str">
        <f t="shared" si="5"/>
        <v/>
      </c>
      <c r="AE24" t="s">
        <v>280</v>
      </c>
      <c r="AG24" s="2" t="str">
        <f t="shared" si="6"/>
        <v/>
      </c>
      <c r="AI24" t="s">
        <v>281</v>
      </c>
      <c r="AJ24" t="s">
        <v>170</v>
      </c>
    </row>
    <row r="25" spans="1:36" ht="14.25" customHeight="1" x14ac:dyDescent="0.35">
      <c r="A25" t="s">
        <v>282</v>
      </c>
      <c r="B25" t="s">
        <v>283</v>
      </c>
      <c r="D25" t="s">
        <v>162</v>
      </c>
      <c r="E25" t="s">
        <v>163</v>
      </c>
      <c r="F25" t="s">
        <v>284</v>
      </c>
      <c r="G25" t="s">
        <v>276</v>
      </c>
      <c r="J25" s="2" t="str">
        <f t="shared" si="0"/>
        <v/>
      </c>
      <c r="K25" t="s">
        <v>285</v>
      </c>
      <c r="N25" s="2" t="str">
        <f t="shared" si="1"/>
        <v/>
      </c>
      <c r="R25" s="2" t="str">
        <f t="shared" si="2"/>
        <v/>
      </c>
      <c r="V25" s="2" t="str">
        <f t="shared" si="3"/>
        <v/>
      </c>
      <c r="W25" t="s">
        <v>286</v>
      </c>
      <c r="Z25" s="2" t="str">
        <f t="shared" si="4"/>
        <v/>
      </c>
      <c r="AD25" s="2" t="str">
        <f t="shared" si="5"/>
        <v/>
      </c>
      <c r="AE25" t="s">
        <v>287</v>
      </c>
      <c r="AG25" s="2" t="str">
        <f t="shared" si="6"/>
        <v/>
      </c>
      <c r="AI25" t="s">
        <v>288</v>
      </c>
      <c r="AJ25" t="s">
        <v>170</v>
      </c>
    </row>
    <row r="26" spans="1:36" ht="14.25" customHeight="1" x14ac:dyDescent="0.35">
      <c r="A26" t="s">
        <v>289</v>
      </c>
      <c r="B26" t="s">
        <v>290</v>
      </c>
      <c r="D26" t="s">
        <v>291</v>
      </c>
      <c r="E26" t="s">
        <v>292</v>
      </c>
      <c r="F26" t="s">
        <v>41</v>
      </c>
      <c r="G26" t="s">
        <v>293</v>
      </c>
      <c r="J26" s="2" t="str">
        <f t="shared" si="0"/>
        <v/>
      </c>
      <c r="K26" t="s">
        <v>294</v>
      </c>
      <c r="N26" s="2" t="str">
        <f t="shared" si="1"/>
        <v/>
      </c>
      <c r="O26" t="s">
        <v>295</v>
      </c>
      <c r="R26" s="2" t="str">
        <f t="shared" si="2"/>
        <v/>
      </c>
      <c r="S26" t="s">
        <v>296</v>
      </c>
      <c r="V26" s="2" t="str">
        <f t="shared" si="3"/>
        <v/>
      </c>
      <c r="W26" t="s">
        <v>297</v>
      </c>
      <c r="Z26" s="2" t="str">
        <f t="shared" si="4"/>
        <v/>
      </c>
      <c r="AA26" t="s">
        <v>298</v>
      </c>
      <c r="AD26" s="2" t="str">
        <f t="shared" si="5"/>
        <v/>
      </c>
      <c r="AE26" t="s">
        <v>299</v>
      </c>
      <c r="AG26" s="2" t="str">
        <f t="shared" si="6"/>
        <v/>
      </c>
      <c r="AI26" t="s">
        <v>300</v>
      </c>
      <c r="AJ26" t="s">
        <v>301</v>
      </c>
    </row>
    <row r="27" spans="1:36" ht="14.25" customHeight="1" x14ac:dyDescent="0.35">
      <c r="A27" t="s">
        <v>302</v>
      </c>
      <c r="B27" t="s">
        <v>303</v>
      </c>
      <c r="D27" t="s">
        <v>39</v>
      </c>
      <c r="E27" t="s">
        <v>40</v>
      </c>
      <c r="F27" t="s">
        <v>304</v>
      </c>
      <c r="G27" t="s">
        <v>42</v>
      </c>
      <c r="J27" s="2" t="str">
        <f t="shared" si="0"/>
        <v/>
      </c>
      <c r="K27" t="s">
        <v>305</v>
      </c>
      <c r="N27" s="2" t="str">
        <f t="shared" si="1"/>
        <v/>
      </c>
      <c r="O27" t="s">
        <v>306</v>
      </c>
      <c r="R27" s="2" t="str">
        <f t="shared" si="2"/>
        <v/>
      </c>
      <c r="V27" s="2" t="str">
        <f t="shared" si="3"/>
        <v/>
      </c>
      <c r="W27" t="s">
        <v>307</v>
      </c>
      <c r="Z27" s="2" t="str">
        <f t="shared" si="4"/>
        <v/>
      </c>
      <c r="AA27" t="s">
        <v>236</v>
      </c>
      <c r="AD27" s="2" t="str">
        <f t="shared" si="5"/>
        <v/>
      </c>
      <c r="AE27" t="s">
        <v>308</v>
      </c>
      <c r="AG27" s="2" t="str">
        <f t="shared" si="6"/>
        <v/>
      </c>
      <c r="AI27" t="s">
        <v>309</v>
      </c>
      <c r="AJ27" t="s">
        <v>49</v>
      </c>
    </row>
    <row r="28" spans="1:36" ht="14.25" customHeight="1" x14ac:dyDescent="0.35">
      <c r="A28" t="s">
        <v>310</v>
      </c>
      <c r="B28" t="s">
        <v>311</v>
      </c>
      <c r="D28" t="s">
        <v>39</v>
      </c>
      <c r="E28" t="s">
        <v>40</v>
      </c>
      <c r="F28" t="s">
        <v>312</v>
      </c>
      <c r="G28" t="s">
        <v>42</v>
      </c>
      <c r="J28" s="2" t="str">
        <f t="shared" si="0"/>
        <v/>
      </c>
      <c r="K28" t="s">
        <v>313</v>
      </c>
      <c r="N28" s="2" t="str">
        <f t="shared" si="1"/>
        <v/>
      </c>
      <c r="O28" t="s">
        <v>314</v>
      </c>
      <c r="R28" s="2" t="str">
        <f t="shared" si="2"/>
        <v/>
      </c>
      <c r="V28" s="2" t="str">
        <f t="shared" si="3"/>
        <v/>
      </c>
      <c r="W28" t="s">
        <v>315</v>
      </c>
      <c r="Z28" s="2" t="str">
        <f t="shared" si="4"/>
        <v/>
      </c>
      <c r="AA28" t="s">
        <v>316</v>
      </c>
      <c r="AD28" s="2" t="str">
        <f t="shared" si="5"/>
        <v/>
      </c>
      <c r="AE28" t="s">
        <v>317</v>
      </c>
      <c r="AG28" s="2" t="str">
        <f t="shared" si="6"/>
        <v/>
      </c>
      <c r="AI28" t="s">
        <v>318</v>
      </c>
      <c r="AJ28" t="s">
        <v>49</v>
      </c>
    </row>
    <row r="29" spans="1:36" ht="14.25" customHeight="1" x14ac:dyDescent="0.35">
      <c r="A29" t="s">
        <v>319</v>
      </c>
      <c r="B29" t="s">
        <v>320</v>
      </c>
      <c r="D29" t="s">
        <v>162</v>
      </c>
      <c r="E29" t="s">
        <v>163</v>
      </c>
      <c r="F29" t="s">
        <v>321</v>
      </c>
      <c r="G29" t="s">
        <v>276</v>
      </c>
      <c r="J29" s="2" t="str">
        <f t="shared" si="0"/>
        <v/>
      </c>
      <c r="K29" t="s">
        <v>322</v>
      </c>
      <c r="N29" s="2" t="str">
        <f t="shared" si="1"/>
        <v/>
      </c>
      <c r="O29" t="s">
        <v>323</v>
      </c>
      <c r="R29" s="2" t="str">
        <f t="shared" si="2"/>
        <v/>
      </c>
      <c r="V29" s="2" t="str">
        <f t="shared" si="3"/>
        <v/>
      </c>
      <c r="W29" t="s">
        <v>324</v>
      </c>
      <c r="Z29" s="2" t="str">
        <f t="shared" si="4"/>
        <v/>
      </c>
      <c r="AD29" s="2" t="str">
        <f t="shared" si="5"/>
        <v/>
      </c>
      <c r="AE29" t="s">
        <v>168</v>
      </c>
      <c r="AG29" s="2" t="str">
        <f t="shared" si="6"/>
        <v/>
      </c>
      <c r="AI29" t="s">
        <v>169</v>
      </c>
      <c r="AJ29" t="s">
        <v>170</v>
      </c>
    </row>
    <row r="30" spans="1:36" ht="14.25" customHeight="1" x14ac:dyDescent="0.35">
      <c r="A30" t="s">
        <v>325</v>
      </c>
      <c r="B30" t="s">
        <v>326</v>
      </c>
      <c r="D30" t="s">
        <v>327</v>
      </c>
      <c r="E30" t="s">
        <v>328</v>
      </c>
      <c r="F30" t="s">
        <v>329</v>
      </c>
      <c r="G30" t="s">
        <v>330</v>
      </c>
      <c r="J30" s="2" t="str">
        <f t="shared" si="0"/>
        <v/>
      </c>
      <c r="K30" t="s">
        <v>331</v>
      </c>
      <c r="N30" s="2" t="str">
        <f t="shared" si="1"/>
        <v/>
      </c>
      <c r="O30" t="s">
        <v>332</v>
      </c>
      <c r="R30" s="2" t="str">
        <f t="shared" si="2"/>
        <v/>
      </c>
      <c r="S30" t="s">
        <v>332</v>
      </c>
      <c r="V30" s="2" t="str">
        <f t="shared" si="3"/>
        <v/>
      </c>
      <c r="W30" t="s">
        <v>331</v>
      </c>
      <c r="Z30" s="2" t="str">
        <f t="shared" si="4"/>
        <v/>
      </c>
      <c r="AD30" s="2" t="str">
        <f t="shared" si="5"/>
        <v/>
      </c>
      <c r="AE30" t="s">
        <v>333</v>
      </c>
      <c r="AG30" s="2" t="str">
        <f t="shared" si="6"/>
        <v/>
      </c>
      <c r="AI30" t="s">
        <v>334</v>
      </c>
      <c r="AJ30" t="s">
        <v>335</v>
      </c>
    </row>
    <row r="31" spans="1:36" ht="14.25" customHeight="1" x14ac:dyDescent="0.35">
      <c r="A31" t="s">
        <v>336</v>
      </c>
      <c r="B31" t="s">
        <v>337</v>
      </c>
      <c r="D31" t="s">
        <v>52</v>
      </c>
      <c r="E31" t="s">
        <v>53</v>
      </c>
      <c r="F31" t="s">
        <v>95</v>
      </c>
      <c r="G31" t="s">
        <v>338</v>
      </c>
      <c r="J31" s="2" t="str">
        <f t="shared" si="0"/>
        <v/>
      </c>
      <c r="K31" t="s">
        <v>339</v>
      </c>
      <c r="N31" s="2" t="str">
        <f t="shared" si="1"/>
        <v/>
      </c>
      <c r="O31" t="s">
        <v>56</v>
      </c>
      <c r="R31" s="2" t="str">
        <f t="shared" si="2"/>
        <v/>
      </c>
      <c r="S31" t="s">
        <v>340</v>
      </c>
      <c r="V31" s="2" t="str">
        <f t="shared" si="3"/>
        <v/>
      </c>
      <c r="W31" t="s">
        <v>341</v>
      </c>
      <c r="Z31" s="2" t="str">
        <f t="shared" si="4"/>
        <v/>
      </c>
      <c r="AA31" t="s">
        <v>56</v>
      </c>
      <c r="AD31" s="2" t="str">
        <f t="shared" si="5"/>
        <v/>
      </c>
      <c r="AE31" t="s">
        <v>56</v>
      </c>
      <c r="AG31" s="2" t="str">
        <f t="shared" si="6"/>
        <v/>
      </c>
      <c r="AI31" t="s">
        <v>342</v>
      </c>
    </row>
    <row r="32" spans="1:36" ht="14.25" customHeight="1" x14ac:dyDescent="0.35">
      <c r="A32" t="s">
        <v>343</v>
      </c>
      <c r="B32" t="s">
        <v>344</v>
      </c>
      <c r="D32" t="s">
        <v>345</v>
      </c>
      <c r="E32" t="s">
        <v>346</v>
      </c>
      <c r="F32" t="s">
        <v>41</v>
      </c>
      <c r="G32" t="s">
        <v>117</v>
      </c>
      <c r="J32" s="2" t="str">
        <f t="shared" si="0"/>
        <v/>
      </c>
      <c r="K32" t="s">
        <v>347</v>
      </c>
      <c r="N32" s="2" t="str">
        <f t="shared" si="1"/>
        <v/>
      </c>
      <c r="O32" t="s">
        <v>348</v>
      </c>
      <c r="R32" s="2" t="str">
        <f t="shared" si="2"/>
        <v/>
      </c>
      <c r="S32" t="s">
        <v>349</v>
      </c>
      <c r="V32" s="2" t="str">
        <f t="shared" si="3"/>
        <v/>
      </c>
      <c r="W32" t="s">
        <v>350</v>
      </c>
      <c r="Z32" s="2" t="str">
        <f t="shared" si="4"/>
        <v/>
      </c>
      <c r="AA32" t="s">
        <v>56</v>
      </c>
      <c r="AD32" s="2" t="str">
        <f t="shared" si="5"/>
        <v/>
      </c>
      <c r="AE32" t="s">
        <v>351</v>
      </c>
      <c r="AG32" s="2" t="str">
        <f t="shared" si="6"/>
        <v/>
      </c>
      <c r="AI32" t="s">
        <v>352</v>
      </c>
      <c r="AJ32" t="s">
        <v>353</v>
      </c>
    </row>
    <row r="33" spans="1:36" ht="14.25" customHeight="1" x14ac:dyDescent="0.35">
      <c r="A33" t="s">
        <v>354</v>
      </c>
      <c r="B33" t="s">
        <v>355</v>
      </c>
      <c r="D33" t="s">
        <v>62</v>
      </c>
      <c r="E33" t="s">
        <v>63</v>
      </c>
      <c r="F33" t="s">
        <v>221</v>
      </c>
      <c r="G33" t="s">
        <v>64</v>
      </c>
      <c r="I33" t="s">
        <v>356</v>
      </c>
      <c r="J33" s="2" t="str">
        <f t="shared" si="0"/>
        <v/>
      </c>
      <c r="K33">
        <v>698210.34660000005</v>
      </c>
      <c r="M33" t="s">
        <v>78</v>
      </c>
      <c r="N33" s="2" t="str">
        <f t="shared" si="1"/>
        <v/>
      </c>
      <c r="Q33" t="s">
        <v>79</v>
      </c>
      <c r="R33" s="2" t="str">
        <f t="shared" si="2"/>
        <v/>
      </c>
      <c r="S33">
        <v>4231946.4170000004</v>
      </c>
      <c r="U33" t="s">
        <v>357</v>
      </c>
      <c r="V33" s="2" t="str">
        <f t="shared" si="3"/>
        <v/>
      </c>
      <c r="W33">
        <v>267213.73499999999</v>
      </c>
      <c r="Z33" s="2" t="str">
        <f t="shared" si="4"/>
        <v/>
      </c>
      <c r="AA33">
        <v>0</v>
      </c>
      <c r="AC33" t="s">
        <v>358</v>
      </c>
      <c r="AD33" s="2" t="str">
        <f t="shared" si="5"/>
        <v/>
      </c>
      <c r="AE33" t="s">
        <v>359</v>
      </c>
      <c r="AG33" s="2" t="str">
        <f t="shared" si="6"/>
        <v/>
      </c>
      <c r="AH33" t="s">
        <v>360</v>
      </c>
      <c r="AI33" t="s">
        <v>361</v>
      </c>
      <c r="AJ33" t="s">
        <v>362</v>
      </c>
    </row>
    <row r="34" spans="1:36" ht="14.25" customHeight="1" x14ac:dyDescent="0.35">
      <c r="A34" t="s">
        <v>363</v>
      </c>
      <c r="B34" t="s">
        <v>364</v>
      </c>
      <c r="D34" t="s">
        <v>327</v>
      </c>
      <c r="E34" t="s">
        <v>328</v>
      </c>
      <c r="F34" t="s">
        <v>106</v>
      </c>
      <c r="G34" t="s">
        <v>330</v>
      </c>
      <c r="J34" s="2" t="str">
        <f t="shared" ref="J34:J65" si="7">IF(AND(ISNUMBER(H34),H34&lt;&gt;0),H34*1.3978,"")</f>
        <v/>
      </c>
      <c r="K34" t="s">
        <v>365</v>
      </c>
      <c r="N34" s="2" t="str">
        <f t="shared" ref="N34:N65" si="8">IF(AND(ISNUMBER(L34),L34&lt;&gt;0),L34*1.3978,"")</f>
        <v/>
      </c>
      <c r="O34" t="s">
        <v>366</v>
      </c>
      <c r="R34" s="2" t="str">
        <f t="shared" ref="R34:R65" si="9">IF(AND(ISNUMBER(P34),P34&lt;&gt;0),P34*1.3978,"")</f>
        <v/>
      </c>
      <c r="S34" t="s">
        <v>366</v>
      </c>
      <c r="V34" s="2" t="str">
        <f t="shared" ref="V34:V65" si="10">IF(AND(ISNUMBER(T34),T34&lt;&gt;0),T34*1.3978,"")</f>
        <v/>
      </c>
      <c r="W34" t="s">
        <v>367</v>
      </c>
      <c r="Z34" s="2" t="str">
        <f t="shared" ref="Z34:Z65" si="11">IF(AND(ISNUMBER(X34),X34&lt;&gt;0),X34*1.3978,"")</f>
        <v/>
      </c>
      <c r="AD34" s="2" t="str">
        <f t="shared" ref="AD34:AD65" si="12">IF(AND(ISNUMBER(AB34),AB34&lt;&gt;0),AB34*1.3978,"")</f>
        <v/>
      </c>
      <c r="AG34" s="2" t="str">
        <f t="shared" ref="AG34:AG65" si="13">IF(AND(ISNUMBER(AF34),AF34&lt;&gt;0),AF34*1.3978,"")</f>
        <v/>
      </c>
      <c r="AI34" t="s">
        <v>368</v>
      </c>
      <c r="AJ34" t="s">
        <v>335</v>
      </c>
    </row>
    <row r="35" spans="1:36" ht="14.25" customHeight="1" x14ac:dyDescent="0.35">
      <c r="A35" t="s">
        <v>60</v>
      </c>
      <c r="B35" t="s">
        <v>369</v>
      </c>
      <c r="D35" t="s">
        <v>370</v>
      </c>
      <c r="E35" t="s">
        <v>371</v>
      </c>
      <c r="F35" t="s">
        <v>41</v>
      </c>
      <c r="G35" t="s">
        <v>372</v>
      </c>
      <c r="J35" s="2" t="str">
        <f t="shared" si="7"/>
        <v/>
      </c>
      <c r="K35" t="s">
        <v>373</v>
      </c>
      <c r="N35" s="2" t="str">
        <f t="shared" si="8"/>
        <v/>
      </c>
      <c r="O35" t="s">
        <v>374</v>
      </c>
      <c r="R35" s="2" t="str">
        <f t="shared" si="9"/>
        <v/>
      </c>
      <c r="V35" s="2" t="str">
        <f t="shared" si="10"/>
        <v/>
      </c>
      <c r="Z35" s="2" t="str">
        <f t="shared" si="11"/>
        <v/>
      </c>
      <c r="AA35" t="s">
        <v>375</v>
      </c>
      <c r="AD35" s="2" t="str">
        <f t="shared" si="12"/>
        <v/>
      </c>
      <c r="AE35" t="s">
        <v>376</v>
      </c>
      <c r="AG35" s="2" t="str">
        <f t="shared" si="13"/>
        <v/>
      </c>
      <c r="AI35" t="s">
        <v>377</v>
      </c>
      <c r="AJ35" t="s">
        <v>378</v>
      </c>
    </row>
    <row r="36" spans="1:36" ht="14.25" customHeight="1" x14ac:dyDescent="0.35">
      <c r="A36" t="s">
        <v>379</v>
      </c>
      <c r="B36" t="s">
        <v>380</v>
      </c>
      <c r="C36" t="s">
        <v>381</v>
      </c>
      <c r="D36" t="s">
        <v>382</v>
      </c>
      <c r="E36" t="s">
        <v>383</v>
      </c>
      <c r="F36" t="s">
        <v>41</v>
      </c>
      <c r="G36" t="s">
        <v>384</v>
      </c>
      <c r="I36" t="s">
        <v>385</v>
      </c>
      <c r="J36" s="2" t="str">
        <f t="shared" si="7"/>
        <v/>
      </c>
      <c r="K36">
        <v>1031944.309</v>
      </c>
      <c r="M36" t="s">
        <v>386</v>
      </c>
      <c r="N36" s="2" t="str">
        <f t="shared" si="8"/>
        <v/>
      </c>
      <c r="O36" t="s">
        <v>387</v>
      </c>
      <c r="R36" s="2" t="str">
        <f t="shared" si="9"/>
        <v/>
      </c>
      <c r="S36">
        <v>0</v>
      </c>
      <c r="U36" t="s">
        <v>388</v>
      </c>
      <c r="V36" s="2" t="str">
        <f t="shared" si="10"/>
        <v/>
      </c>
      <c r="W36">
        <v>811446.23340000003</v>
      </c>
      <c r="Y36" t="s">
        <v>389</v>
      </c>
      <c r="Z36" s="2" t="str">
        <f t="shared" si="11"/>
        <v/>
      </c>
      <c r="AA36">
        <v>131869.27619999999</v>
      </c>
      <c r="AC36" t="s">
        <v>390</v>
      </c>
      <c r="AD36" s="2" t="str">
        <f t="shared" si="12"/>
        <v/>
      </c>
      <c r="AE36" t="s">
        <v>391</v>
      </c>
      <c r="AG36" s="2" t="str">
        <f t="shared" si="13"/>
        <v/>
      </c>
      <c r="AH36" t="s">
        <v>392</v>
      </c>
      <c r="AI36" t="s">
        <v>393</v>
      </c>
      <c r="AJ36" t="s">
        <v>394</v>
      </c>
    </row>
    <row r="37" spans="1:36" ht="14.25" customHeight="1" x14ac:dyDescent="0.35">
      <c r="A37" t="s">
        <v>395</v>
      </c>
      <c r="B37" t="s">
        <v>396</v>
      </c>
      <c r="D37" t="s">
        <v>397</v>
      </c>
      <c r="E37" t="s">
        <v>398</v>
      </c>
      <c r="F37" t="s">
        <v>399</v>
      </c>
      <c r="G37" t="s">
        <v>400</v>
      </c>
      <c r="I37" t="s">
        <v>401</v>
      </c>
      <c r="J37" s="2" t="str">
        <f t="shared" si="7"/>
        <v/>
      </c>
      <c r="K37">
        <v>650655</v>
      </c>
      <c r="M37" t="s">
        <v>402</v>
      </c>
      <c r="N37" s="2" t="str">
        <f t="shared" si="8"/>
        <v/>
      </c>
      <c r="Q37" t="s">
        <v>403</v>
      </c>
      <c r="R37" s="2" t="str">
        <f t="shared" si="9"/>
        <v/>
      </c>
      <c r="S37">
        <v>496610.03159999999</v>
      </c>
      <c r="U37" t="s">
        <v>404</v>
      </c>
      <c r="V37" s="2" t="str">
        <f t="shared" si="10"/>
        <v/>
      </c>
      <c r="W37">
        <v>317194.99739999999</v>
      </c>
      <c r="Z37" s="2" t="str">
        <f t="shared" si="11"/>
        <v/>
      </c>
      <c r="AA37">
        <v>0</v>
      </c>
      <c r="AD37" s="2" t="str">
        <f t="shared" si="12"/>
        <v/>
      </c>
      <c r="AE37" t="s">
        <v>56</v>
      </c>
      <c r="AG37" s="2" t="str">
        <f t="shared" si="13"/>
        <v/>
      </c>
      <c r="AH37" t="s">
        <v>405</v>
      </c>
      <c r="AI37" t="s">
        <v>406</v>
      </c>
      <c r="AJ37" t="s">
        <v>407</v>
      </c>
    </row>
    <row r="38" spans="1:36" ht="14.25" customHeight="1" x14ac:dyDescent="0.35">
      <c r="A38" t="s">
        <v>408</v>
      </c>
      <c r="B38" t="s">
        <v>409</v>
      </c>
      <c r="D38" t="s">
        <v>397</v>
      </c>
      <c r="E38" t="s">
        <v>398</v>
      </c>
      <c r="F38" t="s">
        <v>106</v>
      </c>
      <c r="G38" t="s">
        <v>400</v>
      </c>
      <c r="I38" t="s">
        <v>410</v>
      </c>
      <c r="J38" s="2" t="str">
        <f t="shared" si="7"/>
        <v/>
      </c>
      <c r="K38">
        <v>876672</v>
      </c>
      <c r="M38" t="s">
        <v>411</v>
      </c>
      <c r="N38" s="2" t="str">
        <f t="shared" si="8"/>
        <v/>
      </c>
      <c r="Q38" t="s">
        <v>412</v>
      </c>
      <c r="R38" s="2" t="str">
        <f t="shared" si="9"/>
        <v/>
      </c>
      <c r="S38">
        <v>442204.31520000001</v>
      </c>
      <c r="U38" t="s">
        <v>261</v>
      </c>
      <c r="V38" s="2" t="str">
        <f t="shared" si="10"/>
        <v/>
      </c>
      <c r="W38">
        <v>569836.80000000005</v>
      </c>
      <c r="Z38" s="2" t="str">
        <f t="shared" si="11"/>
        <v/>
      </c>
      <c r="AA38">
        <v>0</v>
      </c>
      <c r="AC38" t="s">
        <v>413</v>
      </c>
      <c r="AD38" s="2" t="str">
        <f t="shared" si="12"/>
        <v/>
      </c>
      <c r="AE38" t="s">
        <v>414</v>
      </c>
      <c r="AG38" s="2" t="str">
        <f t="shared" si="13"/>
        <v/>
      </c>
      <c r="AH38" t="s">
        <v>415</v>
      </c>
      <c r="AI38" t="s">
        <v>416</v>
      </c>
      <c r="AJ38" t="s">
        <v>407</v>
      </c>
    </row>
    <row r="39" spans="1:36" ht="14.25" customHeight="1" x14ac:dyDescent="0.35">
      <c r="A39" t="s">
        <v>417</v>
      </c>
      <c r="B39" t="s">
        <v>418</v>
      </c>
      <c r="D39" t="s">
        <v>419</v>
      </c>
      <c r="E39" t="s">
        <v>420</v>
      </c>
      <c r="F39" t="s">
        <v>421</v>
      </c>
      <c r="G39" t="s">
        <v>400</v>
      </c>
      <c r="J39" s="2" t="str">
        <f t="shared" si="7"/>
        <v/>
      </c>
      <c r="K39" t="s">
        <v>422</v>
      </c>
      <c r="N39" s="2" t="str">
        <f t="shared" si="8"/>
        <v/>
      </c>
      <c r="O39" t="s">
        <v>423</v>
      </c>
      <c r="R39" s="2" t="str">
        <f t="shared" si="9"/>
        <v/>
      </c>
      <c r="S39" t="s">
        <v>424</v>
      </c>
      <c r="V39" s="2" t="str">
        <f t="shared" si="10"/>
        <v/>
      </c>
      <c r="W39" t="s">
        <v>425</v>
      </c>
      <c r="Z39" s="2" t="str">
        <f t="shared" si="11"/>
        <v/>
      </c>
      <c r="AD39" s="2" t="str">
        <f t="shared" si="12"/>
        <v/>
      </c>
      <c r="AE39" t="s">
        <v>426</v>
      </c>
      <c r="AG39" s="2" t="str">
        <f t="shared" si="13"/>
        <v/>
      </c>
      <c r="AI39" t="s">
        <v>427</v>
      </c>
      <c r="AJ39" t="s">
        <v>428</v>
      </c>
    </row>
    <row r="40" spans="1:36" ht="14.25" customHeight="1" x14ac:dyDescent="0.35">
      <c r="A40" t="s">
        <v>429</v>
      </c>
      <c r="B40" t="s">
        <v>430</v>
      </c>
      <c r="D40" t="s">
        <v>115</v>
      </c>
      <c r="E40" t="s">
        <v>116</v>
      </c>
      <c r="F40" t="s">
        <v>431</v>
      </c>
      <c r="G40" t="s">
        <v>400</v>
      </c>
      <c r="J40" s="2" t="str">
        <f t="shared" si="7"/>
        <v/>
      </c>
      <c r="K40" t="s">
        <v>432</v>
      </c>
      <c r="N40" s="2" t="str">
        <f t="shared" si="8"/>
        <v/>
      </c>
      <c r="O40" t="s">
        <v>433</v>
      </c>
      <c r="R40" s="2" t="str">
        <f t="shared" si="9"/>
        <v/>
      </c>
      <c r="V40" s="2" t="str">
        <f t="shared" si="10"/>
        <v/>
      </c>
      <c r="W40" t="s">
        <v>434</v>
      </c>
      <c r="Z40" s="2" t="str">
        <f t="shared" si="11"/>
        <v/>
      </c>
      <c r="AA40" t="s">
        <v>435</v>
      </c>
      <c r="AD40" s="2" t="str">
        <f t="shared" si="12"/>
        <v/>
      </c>
      <c r="AG40" s="2" t="str">
        <f t="shared" si="13"/>
        <v/>
      </c>
      <c r="AI40" t="s">
        <v>436</v>
      </c>
      <c r="AJ40" t="s">
        <v>123</v>
      </c>
    </row>
    <row r="41" spans="1:36" ht="14.25" customHeight="1" x14ac:dyDescent="0.35">
      <c r="A41" t="s">
        <v>437</v>
      </c>
      <c r="B41" t="s">
        <v>438</v>
      </c>
      <c r="C41" t="s">
        <v>439</v>
      </c>
      <c r="D41" t="s">
        <v>440</v>
      </c>
      <c r="E41" t="s">
        <v>441</v>
      </c>
      <c r="F41" t="s">
        <v>41</v>
      </c>
      <c r="G41" t="s">
        <v>442</v>
      </c>
      <c r="J41" s="2" t="str">
        <f t="shared" si="7"/>
        <v/>
      </c>
      <c r="K41" t="s">
        <v>443</v>
      </c>
      <c r="N41" s="2" t="str">
        <f t="shared" si="8"/>
        <v/>
      </c>
      <c r="O41" t="s">
        <v>444</v>
      </c>
      <c r="R41" s="2" t="str">
        <f t="shared" si="9"/>
        <v/>
      </c>
      <c r="V41" s="2" t="str">
        <f t="shared" si="10"/>
        <v/>
      </c>
      <c r="W41" t="s">
        <v>445</v>
      </c>
      <c r="Z41" s="2" t="str">
        <f t="shared" si="11"/>
        <v/>
      </c>
      <c r="AD41" s="2" t="str">
        <f t="shared" si="12"/>
        <v/>
      </c>
      <c r="AE41" t="s">
        <v>446</v>
      </c>
      <c r="AG41" s="2" t="str">
        <f t="shared" si="13"/>
        <v/>
      </c>
      <c r="AI41" t="s">
        <v>447</v>
      </c>
      <c r="AJ41" t="s">
        <v>448</v>
      </c>
    </row>
    <row r="42" spans="1:36" ht="14.25" customHeight="1" x14ac:dyDescent="0.35">
      <c r="A42" t="s">
        <v>449</v>
      </c>
      <c r="B42" t="s">
        <v>450</v>
      </c>
      <c r="D42" t="s">
        <v>451</v>
      </c>
      <c r="E42" t="s">
        <v>452</v>
      </c>
      <c r="F42" t="s">
        <v>453</v>
      </c>
      <c r="G42" t="s">
        <v>400</v>
      </c>
      <c r="I42" t="s">
        <v>454</v>
      </c>
      <c r="J42" s="2" t="str">
        <f t="shared" si="7"/>
        <v/>
      </c>
      <c r="K42" t="s">
        <v>455</v>
      </c>
      <c r="M42" t="s">
        <v>456</v>
      </c>
      <c r="N42" s="2" t="str">
        <f t="shared" si="8"/>
        <v/>
      </c>
      <c r="Q42" t="s">
        <v>457</v>
      </c>
      <c r="R42" s="2" t="str">
        <f t="shared" si="9"/>
        <v/>
      </c>
      <c r="U42" t="s">
        <v>458</v>
      </c>
      <c r="V42" s="2" t="str">
        <f t="shared" si="10"/>
        <v/>
      </c>
      <c r="Z42" s="2" t="str">
        <f t="shared" si="11"/>
        <v/>
      </c>
      <c r="AC42" t="s">
        <v>459</v>
      </c>
      <c r="AD42" s="2" t="str">
        <f t="shared" si="12"/>
        <v/>
      </c>
      <c r="AG42" s="2" t="str">
        <f t="shared" si="13"/>
        <v/>
      </c>
      <c r="AH42" t="s">
        <v>460</v>
      </c>
      <c r="AJ42" t="s">
        <v>461</v>
      </c>
    </row>
    <row r="43" spans="1:36" ht="14.25" customHeight="1" x14ac:dyDescent="0.35">
      <c r="A43" t="s">
        <v>462</v>
      </c>
      <c r="B43" t="s">
        <v>463</v>
      </c>
      <c r="D43" t="s">
        <v>52</v>
      </c>
      <c r="E43" t="s">
        <v>53</v>
      </c>
      <c r="F43" t="s">
        <v>464</v>
      </c>
      <c r="G43" t="s">
        <v>400</v>
      </c>
      <c r="J43" s="2" t="str">
        <f t="shared" si="7"/>
        <v/>
      </c>
      <c r="K43" t="s">
        <v>465</v>
      </c>
      <c r="N43" s="2" t="str">
        <f t="shared" si="8"/>
        <v/>
      </c>
      <c r="R43" s="2" t="str">
        <f t="shared" si="9"/>
        <v/>
      </c>
      <c r="S43" t="s">
        <v>466</v>
      </c>
      <c r="V43" s="2" t="str">
        <f t="shared" si="10"/>
        <v/>
      </c>
      <c r="W43" t="s">
        <v>467</v>
      </c>
      <c r="Z43" s="2" t="str">
        <f t="shared" si="11"/>
        <v/>
      </c>
      <c r="AD43" s="2" t="str">
        <f t="shared" si="12"/>
        <v/>
      </c>
      <c r="AE43" t="s">
        <v>468</v>
      </c>
      <c r="AG43" s="2" t="str">
        <f t="shared" si="13"/>
        <v/>
      </c>
    </row>
    <row r="44" spans="1:36" ht="14.25" customHeight="1" x14ac:dyDescent="0.35">
      <c r="A44" t="s">
        <v>469</v>
      </c>
      <c r="B44" t="s">
        <v>470</v>
      </c>
      <c r="C44" t="s">
        <v>471</v>
      </c>
      <c r="D44" t="s">
        <v>472</v>
      </c>
      <c r="E44" t="s">
        <v>473</v>
      </c>
      <c r="F44" t="s">
        <v>106</v>
      </c>
      <c r="G44" t="s">
        <v>474</v>
      </c>
      <c r="I44" t="s">
        <v>475</v>
      </c>
      <c r="J44" s="2" t="str">
        <f t="shared" si="7"/>
        <v/>
      </c>
      <c r="K44">
        <v>719145</v>
      </c>
      <c r="M44" t="s">
        <v>476</v>
      </c>
      <c r="N44" s="2" t="str">
        <f t="shared" si="8"/>
        <v/>
      </c>
      <c r="R44" s="2" t="str">
        <f t="shared" si="9"/>
        <v/>
      </c>
      <c r="S44">
        <v>0</v>
      </c>
      <c r="U44" t="s">
        <v>477</v>
      </c>
      <c r="V44" s="2" t="str">
        <f t="shared" si="10"/>
        <v/>
      </c>
      <c r="W44">
        <v>898931.25</v>
      </c>
      <c r="Z44" s="2" t="str">
        <f t="shared" si="11"/>
        <v/>
      </c>
      <c r="AA44">
        <v>0</v>
      </c>
      <c r="AC44" t="s">
        <v>478</v>
      </c>
      <c r="AD44" s="2" t="str">
        <f t="shared" si="12"/>
        <v/>
      </c>
      <c r="AE44" t="s">
        <v>479</v>
      </c>
      <c r="AG44" s="2" t="str">
        <f t="shared" si="13"/>
        <v/>
      </c>
      <c r="AH44" t="s">
        <v>480</v>
      </c>
      <c r="AI44" t="s">
        <v>481</v>
      </c>
      <c r="AJ44" t="s">
        <v>482</v>
      </c>
    </row>
    <row r="45" spans="1:36" ht="14.25" customHeight="1" x14ac:dyDescent="0.35">
      <c r="A45" t="s">
        <v>171</v>
      </c>
      <c r="B45" t="s">
        <v>483</v>
      </c>
      <c r="D45" t="s">
        <v>472</v>
      </c>
      <c r="E45" t="s">
        <v>473</v>
      </c>
      <c r="F45" t="s">
        <v>399</v>
      </c>
      <c r="I45" t="s">
        <v>475</v>
      </c>
      <c r="J45" s="2" t="str">
        <f t="shared" si="7"/>
        <v/>
      </c>
      <c r="K45">
        <v>719145</v>
      </c>
      <c r="M45" t="s">
        <v>476</v>
      </c>
      <c r="N45" s="2" t="str">
        <f t="shared" si="8"/>
        <v/>
      </c>
      <c r="R45" s="2" t="str">
        <f t="shared" si="9"/>
        <v/>
      </c>
      <c r="S45">
        <v>0</v>
      </c>
      <c r="U45" t="s">
        <v>477</v>
      </c>
      <c r="V45" s="2" t="str">
        <f t="shared" si="10"/>
        <v/>
      </c>
      <c r="W45">
        <v>898931.25</v>
      </c>
      <c r="Z45" s="2" t="str">
        <f t="shared" si="11"/>
        <v/>
      </c>
      <c r="AA45">
        <v>0</v>
      </c>
      <c r="AC45" t="s">
        <v>478</v>
      </c>
      <c r="AD45" s="2" t="str">
        <f t="shared" si="12"/>
        <v/>
      </c>
      <c r="AE45" t="s">
        <v>479</v>
      </c>
      <c r="AG45" s="2" t="str">
        <f t="shared" si="13"/>
        <v/>
      </c>
      <c r="AH45" t="s">
        <v>480</v>
      </c>
      <c r="AI45" t="s">
        <v>481</v>
      </c>
      <c r="AJ45" t="s">
        <v>482</v>
      </c>
    </row>
    <row r="46" spans="1:36" ht="14.25" customHeight="1" x14ac:dyDescent="0.35">
      <c r="A46" t="s">
        <v>85</v>
      </c>
      <c r="B46" t="s">
        <v>484</v>
      </c>
      <c r="D46" t="s">
        <v>115</v>
      </c>
      <c r="E46" t="s">
        <v>116</v>
      </c>
      <c r="F46" t="s">
        <v>485</v>
      </c>
      <c r="G46" t="s">
        <v>400</v>
      </c>
      <c r="J46" s="2" t="str">
        <f t="shared" si="7"/>
        <v/>
      </c>
      <c r="K46" t="s">
        <v>486</v>
      </c>
      <c r="N46" s="2" t="str">
        <f t="shared" si="8"/>
        <v/>
      </c>
      <c r="O46" t="s">
        <v>487</v>
      </c>
      <c r="R46" s="2" t="str">
        <f t="shared" si="9"/>
        <v/>
      </c>
      <c r="V46" s="2" t="str">
        <f t="shared" si="10"/>
        <v/>
      </c>
      <c r="W46" t="s">
        <v>488</v>
      </c>
      <c r="Z46" s="2" t="str">
        <f t="shared" si="11"/>
        <v/>
      </c>
      <c r="AA46" t="s">
        <v>489</v>
      </c>
      <c r="AD46" s="2" t="str">
        <f t="shared" si="12"/>
        <v/>
      </c>
      <c r="AG46" s="2" t="str">
        <f t="shared" si="13"/>
        <v/>
      </c>
      <c r="AI46" t="s">
        <v>490</v>
      </c>
      <c r="AJ46" t="s">
        <v>123</v>
      </c>
    </row>
    <row r="47" spans="1:36" ht="14.25" customHeight="1" x14ac:dyDescent="0.35">
      <c r="A47" t="s">
        <v>491</v>
      </c>
      <c r="B47" t="s">
        <v>492</v>
      </c>
      <c r="D47" t="s">
        <v>115</v>
      </c>
      <c r="E47" t="s">
        <v>116</v>
      </c>
      <c r="F47" t="s">
        <v>493</v>
      </c>
      <c r="G47" t="s">
        <v>400</v>
      </c>
      <c r="J47" s="2" t="str">
        <f t="shared" si="7"/>
        <v/>
      </c>
      <c r="K47" t="s">
        <v>424</v>
      </c>
      <c r="N47" s="2" t="str">
        <f t="shared" si="8"/>
        <v/>
      </c>
      <c r="O47" t="s">
        <v>494</v>
      </c>
      <c r="R47" s="2" t="str">
        <f t="shared" si="9"/>
        <v/>
      </c>
      <c r="V47" s="2" t="str">
        <f t="shared" si="10"/>
        <v/>
      </c>
      <c r="W47" t="s">
        <v>495</v>
      </c>
      <c r="Z47" s="2" t="str">
        <f t="shared" si="11"/>
        <v/>
      </c>
      <c r="AA47" t="s">
        <v>496</v>
      </c>
      <c r="AD47" s="2" t="str">
        <f t="shared" si="12"/>
        <v/>
      </c>
      <c r="AE47" t="s">
        <v>497</v>
      </c>
      <c r="AG47" s="2" t="str">
        <f t="shared" si="13"/>
        <v/>
      </c>
      <c r="AI47" t="s">
        <v>498</v>
      </c>
      <c r="AJ47" t="s">
        <v>123</v>
      </c>
    </row>
    <row r="48" spans="1:36" ht="14.25" customHeight="1" x14ac:dyDescent="0.35">
      <c r="A48" t="s">
        <v>113</v>
      </c>
      <c r="B48" t="s">
        <v>499</v>
      </c>
      <c r="D48" t="s">
        <v>241</v>
      </c>
      <c r="E48" t="s">
        <v>242</v>
      </c>
      <c r="F48" t="s">
        <v>500</v>
      </c>
      <c r="G48" t="s">
        <v>128</v>
      </c>
      <c r="J48" s="2" t="str">
        <f t="shared" si="7"/>
        <v/>
      </c>
      <c r="K48" t="s">
        <v>501</v>
      </c>
      <c r="N48" s="2" t="str">
        <f t="shared" si="8"/>
        <v/>
      </c>
      <c r="O48" t="s">
        <v>502</v>
      </c>
      <c r="R48" s="2" t="str">
        <f t="shared" si="9"/>
        <v/>
      </c>
      <c r="V48" s="2" t="str">
        <f t="shared" si="10"/>
        <v/>
      </c>
      <c r="W48" t="s">
        <v>503</v>
      </c>
      <c r="Z48" s="2" t="str">
        <f t="shared" si="11"/>
        <v/>
      </c>
      <c r="AD48" s="2" t="str">
        <f t="shared" si="12"/>
        <v/>
      </c>
      <c r="AE48" t="s">
        <v>504</v>
      </c>
      <c r="AG48" s="2" t="str">
        <f t="shared" si="13"/>
        <v/>
      </c>
      <c r="AI48" t="s">
        <v>505</v>
      </c>
      <c r="AJ48" t="s">
        <v>248</v>
      </c>
    </row>
    <row r="49" spans="1:36" ht="14.25" customHeight="1" x14ac:dyDescent="0.35">
      <c r="A49" t="s">
        <v>205</v>
      </c>
      <c r="B49" t="s">
        <v>506</v>
      </c>
      <c r="D49" t="s">
        <v>241</v>
      </c>
      <c r="E49" t="s">
        <v>242</v>
      </c>
      <c r="F49" t="s">
        <v>507</v>
      </c>
      <c r="G49" t="s">
        <v>128</v>
      </c>
      <c r="J49" s="2" t="str">
        <f t="shared" si="7"/>
        <v/>
      </c>
      <c r="K49" t="s">
        <v>501</v>
      </c>
      <c r="N49" s="2" t="str">
        <f t="shared" si="8"/>
        <v/>
      </c>
      <c r="O49" t="s">
        <v>502</v>
      </c>
      <c r="R49" s="2" t="str">
        <f t="shared" si="9"/>
        <v/>
      </c>
      <c r="V49" s="2" t="str">
        <f t="shared" si="10"/>
        <v/>
      </c>
      <c r="W49" t="s">
        <v>503</v>
      </c>
      <c r="Z49" s="2" t="str">
        <f t="shared" si="11"/>
        <v/>
      </c>
      <c r="AD49" s="2" t="str">
        <f t="shared" si="12"/>
        <v/>
      </c>
      <c r="AE49" t="s">
        <v>508</v>
      </c>
      <c r="AG49" s="2" t="str">
        <f t="shared" si="13"/>
        <v/>
      </c>
      <c r="AI49" t="s">
        <v>509</v>
      </c>
      <c r="AJ49" t="s">
        <v>248</v>
      </c>
    </row>
    <row r="50" spans="1:36" ht="14.25" customHeight="1" x14ac:dyDescent="0.35">
      <c r="A50" t="s">
        <v>408</v>
      </c>
      <c r="B50" t="s">
        <v>510</v>
      </c>
      <c r="D50">
        <v>-35398371.600000001</v>
      </c>
      <c r="E50" t="s">
        <v>173</v>
      </c>
      <c r="F50" t="s">
        <v>511</v>
      </c>
      <c r="G50" t="s">
        <v>174</v>
      </c>
      <c r="I50" t="s">
        <v>512</v>
      </c>
      <c r="J50" s="2" t="str">
        <f t="shared" si="7"/>
        <v/>
      </c>
      <c r="K50">
        <v>397157.0724</v>
      </c>
      <c r="M50" t="s">
        <v>513</v>
      </c>
      <c r="N50" s="2" t="str">
        <f t="shared" si="8"/>
        <v/>
      </c>
      <c r="Q50" t="s">
        <v>514</v>
      </c>
      <c r="R50" s="2" t="str">
        <f t="shared" si="9"/>
        <v/>
      </c>
      <c r="S50">
        <v>794281.2696</v>
      </c>
      <c r="U50" t="s">
        <v>515</v>
      </c>
      <c r="V50" s="2" t="str">
        <f t="shared" si="10"/>
        <v/>
      </c>
      <c r="W50">
        <v>366018.77879999997</v>
      </c>
      <c r="Z50" s="2" t="str">
        <f t="shared" si="11"/>
        <v/>
      </c>
      <c r="AA50">
        <v>0</v>
      </c>
      <c r="AC50" t="s">
        <v>516</v>
      </c>
      <c r="AD50" s="2" t="str">
        <f t="shared" si="12"/>
        <v/>
      </c>
      <c r="AE50" t="s">
        <v>517</v>
      </c>
      <c r="AG50" s="2" t="str">
        <f t="shared" si="13"/>
        <v/>
      </c>
      <c r="AH50" t="s">
        <v>518</v>
      </c>
      <c r="AI50" t="s">
        <v>519</v>
      </c>
    </row>
    <row r="51" spans="1:36" ht="14.25" customHeight="1" x14ac:dyDescent="0.35">
      <c r="A51" t="s">
        <v>520</v>
      </c>
      <c r="B51" t="s">
        <v>521</v>
      </c>
      <c r="D51">
        <v>-35398371.600000001</v>
      </c>
      <c r="E51" t="s">
        <v>173</v>
      </c>
      <c r="F51" t="s">
        <v>522</v>
      </c>
      <c r="G51" t="s">
        <v>174</v>
      </c>
      <c r="I51" t="s">
        <v>523</v>
      </c>
      <c r="J51" s="2" t="str">
        <f t="shared" si="7"/>
        <v/>
      </c>
      <c r="K51">
        <v>586914.09660000005</v>
      </c>
      <c r="M51" t="s">
        <v>524</v>
      </c>
      <c r="N51" s="2" t="str">
        <f t="shared" si="8"/>
        <v/>
      </c>
      <c r="Q51" t="s">
        <v>525</v>
      </c>
      <c r="R51" s="2" t="str">
        <f t="shared" si="9"/>
        <v/>
      </c>
      <c r="S51">
        <v>620018.05319999997</v>
      </c>
      <c r="U51" t="s">
        <v>526</v>
      </c>
      <c r="V51" s="2" t="str">
        <f t="shared" si="10"/>
        <v/>
      </c>
      <c r="W51">
        <v>798705.72360000003</v>
      </c>
      <c r="Z51" s="2" t="str">
        <f t="shared" si="11"/>
        <v/>
      </c>
      <c r="AA51">
        <v>0</v>
      </c>
      <c r="AC51" t="s">
        <v>527</v>
      </c>
      <c r="AD51" s="2" t="str">
        <f t="shared" si="12"/>
        <v/>
      </c>
      <c r="AE51" t="s">
        <v>528</v>
      </c>
      <c r="AG51" s="2" t="str">
        <f t="shared" si="13"/>
        <v/>
      </c>
      <c r="AH51" t="s">
        <v>529</v>
      </c>
      <c r="AI51" t="s">
        <v>530</v>
      </c>
    </row>
    <row r="52" spans="1:36" ht="14.25" customHeight="1" x14ac:dyDescent="0.35">
      <c r="A52" t="s">
        <v>135</v>
      </c>
      <c r="B52" t="s">
        <v>531</v>
      </c>
      <c r="D52" t="s">
        <v>532</v>
      </c>
      <c r="E52" t="s">
        <v>533</v>
      </c>
      <c r="F52" t="s">
        <v>41</v>
      </c>
      <c r="J52" s="2" t="str">
        <f t="shared" si="7"/>
        <v/>
      </c>
      <c r="K52" t="s">
        <v>534</v>
      </c>
      <c r="N52" s="2" t="str">
        <f t="shared" si="8"/>
        <v/>
      </c>
      <c r="O52" t="s">
        <v>535</v>
      </c>
      <c r="R52" s="2" t="str">
        <f t="shared" si="9"/>
        <v/>
      </c>
      <c r="S52" t="s">
        <v>536</v>
      </c>
      <c r="V52" s="2" t="str">
        <f t="shared" si="10"/>
        <v/>
      </c>
      <c r="W52" t="s">
        <v>537</v>
      </c>
      <c r="Z52" s="2" t="str">
        <f t="shared" si="11"/>
        <v/>
      </c>
      <c r="AD52" s="2" t="str">
        <f t="shared" si="12"/>
        <v/>
      </c>
      <c r="AE52" t="s">
        <v>538</v>
      </c>
      <c r="AG52" s="2" t="str">
        <f t="shared" si="13"/>
        <v/>
      </c>
      <c r="AI52" t="s">
        <v>539</v>
      </c>
      <c r="AJ52" t="s">
        <v>540</v>
      </c>
    </row>
    <row r="53" spans="1:36" ht="14.25" customHeight="1" x14ac:dyDescent="0.35">
      <c r="A53" t="s">
        <v>541</v>
      </c>
      <c r="B53" t="s">
        <v>542</v>
      </c>
      <c r="D53" t="s">
        <v>532</v>
      </c>
      <c r="E53" t="s">
        <v>533</v>
      </c>
      <c r="F53" t="s">
        <v>543</v>
      </c>
      <c r="J53" s="2" t="str">
        <f t="shared" si="7"/>
        <v/>
      </c>
      <c r="K53" t="s">
        <v>544</v>
      </c>
      <c r="N53" s="2" t="str">
        <f t="shared" si="8"/>
        <v/>
      </c>
      <c r="O53" t="s">
        <v>545</v>
      </c>
      <c r="R53" s="2" t="str">
        <f t="shared" si="9"/>
        <v/>
      </c>
      <c r="V53" s="2" t="str">
        <f t="shared" si="10"/>
        <v/>
      </c>
      <c r="W53" t="s">
        <v>546</v>
      </c>
      <c r="Z53" s="2" t="str">
        <f t="shared" si="11"/>
        <v/>
      </c>
      <c r="AD53" s="2" t="str">
        <f t="shared" si="12"/>
        <v/>
      </c>
      <c r="AE53" t="s">
        <v>547</v>
      </c>
      <c r="AG53" s="2" t="str">
        <f t="shared" si="13"/>
        <v/>
      </c>
      <c r="AI53" t="s">
        <v>548</v>
      </c>
      <c r="AJ53" t="s">
        <v>540</v>
      </c>
    </row>
    <row r="54" spans="1:36" ht="14.25" customHeight="1" x14ac:dyDescent="0.35">
      <c r="A54" t="s">
        <v>549</v>
      </c>
      <c r="B54" t="s">
        <v>550</v>
      </c>
      <c r="D54" t="s">
        <v>137</v>
      </c>
      <c r="E54" t="s">
        <v>138</v>
      </c>
      <c r="F54" t="s">
        <v>551</v>
      </c>
      <c r="J54" s="2" t="str">
        <f t="shared" si="7"/>
        <v/>
      </c>
      <c r="K54" t="s">
        <v>552</v>
      </c>
      <c r="N54" s="2" t="str">
        <f t="shared" si="8"/>
        <v/>
      </c>
      <c r="O54" t="s">
        <v>553</v>
      </c>
      <c r="R54" s="2" t="str">
        <f t="shared" si="9"/>
        <v/>
      </c>
      <c r="S54" t="s">
        <v>554</v>
      </c>
      <c r="V54" s="2" t="str">
        <f t="shared" si="10"/>
        <v/>
      </c>
      <c r="W54" t="s">
        <v>555</v>
      </c>
      <c r="Z54" s="2" t="str">
        <f t="shared" si="11"/>
        <v/>
      </c>
      <c r="AA54" t="s">
        <v>56</v>
      </c>
      <c r="AD54" s="2" t="str">
        <f t="shared" si="12"/>
        <v/>
      </c>
      <c r="AG54" s="2" t="str">
        <f t="shared" si="13"/>
        <v/>
      </c>
      <c r="AI54" t="s">
        <v>556</v>
      </c>
      <c r="AJ54" t="s">
        <v>146</v>
      </c>
    </row>
    <row r="55" spans="1:36" ht="14.25" customHeight="1" x14ac:dyDescent="0.35">
      <c r="A55" t="s">
        <v>557</v>
      </c>
      <c r="B55" t="s">
        <v>558</v>
      </c>
      <c r="D55" t="s">
        <v>137</v>
      </c>
      <c r="E55" t="s">
        <v>138</v>
      </c>
      <c r="F55" t="s">
        <v>559</v>
      </c>
      <c r="G55" t="s">
        <v>139</v>
      </c>
      <c r="J55" s="2" t="str">
        <f t="shared" si="7"/>
        <v/>
      </c>
      <c r="K55" t="s">
        <v>560</v>
      </c>
      <c r="N55" s="2" t="str">
        <f t="shared" si="8"/>
        <v/>
      </c>
      <c r="O55" t="s">
        <v>561</v>
      </c>
      <c r="R55" s="2" t="str">
        <f t="shared" si="9"/>
        <v/>
      </c>
      <c r="S55" t="s">
        <v>562</v>
      </c>
      <c r="V55" s="2" t="str">
        <f t="shared" si="10"/>
        <v/>
      </c>
      <c r="W55" t="s">
        <v>563</v>
      </c>
      <c r="Z55" s="2" t="str">
        <f t="shared" si="11"/>
        <v/>
      </c>
      <c r="AA55" t="s">
        <v>564</v>
      </c>
      <c r="AD55" s="2" t="str">
        <f t="shared" si="12"/>
        <v/>
      </c>
      <c r="AG55" s="2" t="str">
        <f t="shared" si="13"/>
        <v/>
      </c>
      <c r="AI55" t="s">
        <v>565</v>
      </c>
      <c r="AJ55" t="s">
        <v>146</v>
      </c>
    </row>
    <row r="56" spans="1:36" ht="14.25" customHeight="1" x14ac:dyDescent="0.35">
      <c r="A56" t="s">
        <v>566</v>
      </c>
      <c r="B56" t="s">
        <v>567</v>
      </c>
      <c r="D56" t="s">
        <v>137</v>
      </c>
      <c r="E56" t="s">
        <v>138</v>
      </c>
      <c r="F56" t="s">
        <v>568</v>
      </c>
      <c r="G56" t="s">
        <v>139</v>
      </c>
      <c r="J56" s="2" t="str">
        <f t="shared" si="7"/>
        <v/>
      </c>
      <c r="K56" t="s">
        <v>560</v>
      </c>
      <c r="N56" s="2" t="str">
        <f t="shared" si="8"/>
        <v/>
      </c>
      <c r="O56" t="s">
        <v>561</v>
      </c>
      <c r="R56" s="2" t="str">
        <f t="shared" si="9"/>
        <v/>
      </c>
      <c r="S56" t="s">
        <v>562</v>
      </c>
      <c r="V56" s="2" t="str">
        <f t="shared" si="10"/>
        <v/>
      </c>
      <c r="W56" t="s">
        <v>563</v>
      </c>
      <c r="Z56" s="2" t="str">
        <f t="shared" si="11"/>
        <v/>
      </c>
      <c r="AA56" t="s">
        <v>564</v>
      </c>
      <c r="AD56" s="2" t="str">
        <f t="shared" si="12"/>
        <v/>
      </c>
      <c r="AG56" s="2" t="str">
        <f t="shared" si="13"/>
        <v/>
      </c>
      <c r="AI56" t="s">
        <v>565</v>
      </c>
      <c r="AJ56" t="s">
        <v>146</v>
      </c>
    </row>
    <row r="57" spans="1:36" ht="14.25" customHeight="1" x14ac:dyDescent="0.35">
      <c r="A57" t="s">
        <v>569</v>
      </c>
      <c r="B57" t="s">
        <v>570</v>
      </c>
      <c r="D57" t="s">
        <v>104</v>
      </c>
      <c r="E57" t="s">
        <v>105</v>
      </c>
      <c r="F57" t="s">
        <v>221</v>
      </c>
      <c r="G57" t="s">
        <v>400</v>
      </c>
      <c r="J57" s="2" t="str">
        <f t="shared" si="7"/>
        <v/>
      </c>
      <c r="K57" t="s">
        <v>233</v>
      </c>
      <c r="N57" s="2" t="str">
        <f t="shared" si="8"/>
        <v/>
      </c>
      <c r="O57" t="s">
        <v>571</v>
      </c>
      <c r="R57" s="2" t="str">
        <f t="shared" si="9"/>
        <v/>
      </c>
      <c r="S57" t="s">
        <v>572</v>
      </c>
      <c r="V57" s="2" t="str">
        <f t="shared" si="10"/>
        <v/>
      </c>
      <c r="W57" t="s">
        <v>573</v>
      </c>
      <c r="Z57" s="2" t="str">
        <f t="shared" si="11"/>
        <v/>
      </c>
      <c r="AA57" t="s">
        <v>574</v>
      </c>
      <c r="AD57" s="2" t="str">
        <f t="shared" si="12"/>
        <v/>
      </c>
      <c r="AG57" s="2" t="str">
        <f t="shared" si="13"/>
        <v/>
      </c>
      <c r="AI57" t="s">
        <v>575</v>
      </c>
      <c r="AJ57" t="s">
        <v>112</v>
      </c>
    </row>
    <row r="58" spans="1:36" ht="14.25" customHeight="1" x14ac:dyDescent="0.35">
      <c r="A58" t="s">
        <v>576</v>
      </c>
      <c r="B58" t="s">
        <v>577</v>
      </c>
      <c r="D58" t="s">
        <v>104</v>
      </c>
      <c r="E58" t="s">
        <v>105</v>
      </c>
      <c r="F58" t="s">
        <v>431</v>
      </c>
      <c r="G58" t="s">
        <v>400</v>
      </c>
      <c r="J58" s="2" t="str">
        <f t="shared" si="7"/>
        <v/>
      </c>
      <c r="K58" t="s">
        <v>578</v>
      </c>
      <c r="N58" s="2" t="str">
        <f t="shared" si="8"/>
        <v/>
      </c>
      <c r="O58" t="s">
        <v>579</v>
      </c>
      <c r="R58" s="2" t="str">
        <f t="shared" si="9"/>
        <v/>
      </c>
      <c r="S58" t="s">
        <v>580</v>
      </c>
      <c r="V58" s="2" t="str">
        <f t="shared" si="10"/>
        <v/>
      </c>
      <c r="W58" t="s">
        <v>581</v>
      </c>
      <c r="Z58" s="2" t="str">
        <f t="shared" si="11"/>
        <v/>
      </c>
      <c r="AA58" t="s">
        <v>582</v>
      </c>
      <c r="AD58" s="2" t="str">
        <f t="shared" si="12"/>
        <v/>
      </c>
      <c r="AG58" s="2" t="str">
        <f t="shared" si="13"/>
        <v/>
      </c>
      <c r="AI58" t="s">
        <v>583</v>
      </c>
      <c r="AJ58" t="s">
        <v>112</v>
      </c>
    </row>
    <row r="59" spans="1:36" ht="14.25" customHeight="1" x14ac:dyDescent="0.35">
      <c r="A59" t="s">
        <v>584</v>
      </c>
      <c r="B59" t="s">
        <v>585</v>
      </c>
      <c r="D59" t="s">
        <v>104</v>
      </c>
      <c r="E59" t="s">
        <v>105</v>
      </c>
      <c r="F59" t="s">
        <v>586</v>
      </c>
      <c r="G59" t="s">
        <v>400</v>
      </c>
      <c r="J59" s="2" t="str">
        <f t="shared" si="7"/>
        <v/>
      </c>
      <c r="K59" t="s">
        <v>587</v>
      </c>
      <c r="N59" s="2" t="str">
        <f t="shared" si="8"/>
        <v/>
      </c>
      <c r="O59" t="s">
        <v>588</v>
      </c>
      <c r="R59" s="2" t="str">
        <f t="shared" si="9"/>
        <v/>
      </c>
      <c r="S59" t="s">
        <v>589</v>
      </c>
      <c r="V59" s="2" t="str">
        <f t="shared" si="10"/>
        <v/>
      </c>
      <c r="W59" t="s">
        <v>590</v>
      </c>
      <c r="Z59" s="2" t="str">
        <f t="shared" si="11"/>
        <v/>
      </c>
      <c r="AA59" t="s">
        <v>591</v>
      </c>
      <c r="AD59" s="2" t="str">
        <f t="shared" si="12"/>
        <v/>
      </c>
      <c r="AG59" s="2" t="str">
        <f t="shared" si="13"/>
        <v/>
      </c>
      <c r="AI59" t="s">
        <v>592</v>
      </c>
      <c r="AJ59" t="s">
        <v>112</v>
      </c>
    </row>
    <row r="60" spans="1:36" ht="14.25" customHeight="1" x14ac:dyDescent="0.35">
      <c r="A60" t="s">
        <v>593</v>
      </c>
      <c r="B60" t="s">
        <v>594</v>
      </c>
      <c r="D60" t="s">
        <v>104</v>
      </c>
      <c r="E60" t="s">
        <v>105</v>
      </c>
      <c r="F60" t="s">
        <v>595</v>
      </c>
      <c r="G60" t="s">
        <v>400</v>
      </c>
      <c r="J60" s="2" t="str">
        <f t="shared" si="7"/>
        <v/>
      </c>
      <c r="K60" t="s">
        <v>596</v>
      </c>
      <c r="N60" s="2" t="str">
        <f t="shared" si="8"/>
        <v/>
      </c>
      <c r="O60" t="s">
        <v>597</v>
      </c>
      <c r="R60" s="2" t="str">
        <f t="shared" si="9"/>
        <v/>
      </c>
      <c r="S60" t="s">
        <v>598</v>
      </c>
      <c r="V60" s="2" t="str">
        <f t="shared" si="10"/>
        <v/>
      </c>
      <c r="W60" t="s">
        <v>599</v>
      </c>
      <c r="Z60" s="2" t="str">
        <f t="shared" si="11"/>
        <v/>
      </c>
      <c r="AA60" t="s">
        <v>600</v>
      </c>
      <c r="AD60" s="2" t="str">
        <f t="shared" si="12"/>
        <v/>
      </c>
      <c r="AG60" s="2" t="str">
        <f t="shared" si="13"/>
        <v/>
      </c>
      <c r="AI60" t="s">
        <v>601</v>
      </c>
      <c r="AJ60" t="s">
        <v>112</v>
      </c>
    </row>
    <row r="61" spans="1:36" ht="14.25" customHeight="1" x14ac:dyDescent="0.35">
      <c r="A61" t="s">
        <v>602</v>
      </c>
      <c r="B61" t="s">
        <v>438</v>
      </c>
      <c r="D61" t="s">
        <v>137</v>
      </c>
      <c r="E61" t="s">
        <v>138</v>
      </c>
      <c r="F61" t="s">
        <v>543</v>
      </c>
      <c r="G61" t="s">
        <v>139</v>
      </c>
      <c r="J61" s="2" t="str">
        <f t="shared" si="7"/>
        <v/>
      </c>
      <c r="K61" t="s">
        <v>560</v>
      </c>
      <c r="N61" s="2" t="str">
        <f t="shared" si="8"/>
        <v/>
      </c>
      <c r="O61" t="s">
        <v>561</v>
      </c>
      <c r="R61" s="2" t="str">
        <f t="shared" si="9"/>
        <v/>
      </c>
      <c r="S61" t="s">
        <v>562</v>
      </c>
      <c r="V61" s="2" t="str">
        <f t="shared" si="10"/>
        <v/>
      </c>
      <c r="W61" t="s">
        <v>563</v>
      </c>
      <c r="Z61" s="2" t="str">
        <f t="shared" si="11"/>
        <v/>
      </c>
      <c r="AA61" t="s">
        <v>564</v>
      </c>
      <c r="AD61" s="2" t="str">
        <f t="shared" si="12"/>
        <v/>
      </c>
      <c r="AG61" s="2" t="str">
        <f t="shared" si="13"/>
        <v/>
      </c>
      <c r="AI61" t="s">
        <v>565</v>
      </c>
      <c r="AJ61" t="s">
        <v>146</v>
      </c>
    </row>
    <row r="62" spans="1:36" ht="14.25" customHeight="1" x14ac:dyDescent="0.35">
      <c r="A62" t="s">
        <v>603</v>
      </c>
      <c r="B62" t="s">
        <v>604</v>
      </c>
      <c r="D62" t="s">
        <v>241</v>
      </c>
      <c r="E62" t="s">
        <v>242</v>
      </c>
      <c r="F62" t="s">
        <v>605</v>
      </c>
      <c r="G62" t="s">
        <v>400</v>
      </c>
      <c r="J62" s="2" t="str">
        <f t="shared" si="7"/>
        <v/>
      </c>
      <c r="K62" t="s">
        <v>606</v>
      </c>
      <c r="N62" s="2" t="str">
        <f t="shared" si="8"/>
        <v/>
      </c>
      <c r="O62" t="s">
        <v>607</v>
      </c>
      <c r="R62" s="2" t="str">
        <f t="shared" si="9"/>
        <v/>
      </c>
      <c r="V62" s="2" t="str">
        <f t="shared" si="10"/>
        <v/>
      </c>
      <c r="W62" t="s">
        <v>608</v>
      </c>
      <c r="Z62" s="2" t="str">
        <f t="shared" si="11"/>
        <v/>
      </c>
      <c r="AD62" s="2" t="str">
        <f t="shared" si="12"/>
        <v/>
      </c>
      <c r="AE62" t="s">
        <v>609</v>
      </c>
      <c r="AG62" s="2" t="str">
        <f t="shared" si="13"/>
        <v/>
      </c>
      <c r="AI62" t="s">
        <v>610</v>
      </c>
      <c r="AJ62" t="s">
        <v>248</v>
      </c>
    </row>
    <row r="63" spans="1:36" ht="14.25" customHeight="1" x14ac:dyDescent="0.35">
      <c r="A63" t="s">
        <v>319</v>
      </c>
      <c r="B63" t="s">
        <v>611</v>
      </c>
      <c r="D63">
        <v>-13444000</v>
      </c>
      <c r="E63" t="s">
        <v>612</v>
      </c>
      <c r="F63" t="s">
        <v>41</v>
      </c>
      <c r="G63" t="s">
        <v>400</v>
      </c>
      <c r="J63" s="2" t="str">
        <f t="shared" si="7"/>
        <v/>
      </c>
      <c r="K63" t="s">
        <v>613</v>
      </c>
      <c r="N63" s="2" t="str">
        <f t="shared" si="8"/>
        <v/>
      </c>
      <c r="O63" t="s">
        <v>614</v>
      </c>
      <c r="R63" s="2" t="str">
        <f t="shared" si="9"/>
        <v/>
      </c>
      <c r="S63" t="s">
        <v>615</v>
      </c>
      <c r="V63" s="2" t="str">
        <f t="shared" si="10"/>
        <v/>
      </c>
      <c r="W63" t="s">
        <v>616</v>
      </c>
      <c r="Z63" s="2" t="str">
        <f t="shared" si="11"/>
        <v/>
      </c>
      <c r="AA63" t="s">
        <v>617</v>
      </c>
      <c r="AD63" s="2" t="str">
        <f t="shared" si="12"/>
        <v/>
      </c>
      <c r="AE63" t="s">
        <v>56</v>
      </c>
      <c r="AG63" s="2" t="str">
        <f t="shared" si="13"/>
        <v/>
      </c>
      <c r="AI63" t="s">
        <v>618</v>
      </c>
      <c r="AJ63" t="s">
        <v>619</v>
      </c>
    </row>
    <row r="64" spans="1:36" ht="14.25" customHeight="1" x14ac:dyDescent="0.35">
      <c r="A64" t="s">
        <v>620</v>
      </c>
      <c r="B64" t="s">
        <v>621</v>
      </c>
      <c r="D64" t="s">
        <v>291</v>
      </c>
      <c r="E64" t="s">
        <v>292</v>
      </c>
      <c r="F64" t="s">
        <v>221</v>
      </c>
      <c r="J64" s="2" t="str">
        <f t="shared" si="7"/>
        <v/>
      </c>
      <c r="K64" t="s">
        <v>622</v>
      </c>
      <c r="N64" s="2" t="str">
        <f t="shared" si="8"/>
        <v/>
      </c>
      <c r="O64" t="s">
        <v>623</v>
      </c>
      <c r="R64" s="2" t="str">
        <f t="shared" si="9"/>
        <v/>
      </c>
      <c r="S64" t="s">
        <v>624</v>
      </c>
      <c r="V64" s="2" t="str">
        <f t="shared" si="10"/>
        <v/>
      </c>
      <c r="W64" t="s">
        <v>625</v>
      </c>
      <c r="Z64" s="2" t="str">
        <f t="shared" si="11"/>
        <v/>
      </c>
      <c r="AA64" t="s">
        <v>626</v>
      </c>
      <c r="AD64" s="2" t="str">
        <f t="shared" si="12"/>
        <v/>
      </c>
      <c r="AE64" t="s">
        <v>627</v>
      </c>
      <c r="AG64" s="2" t="str">
        <f t="shared" si="13"/>
        <v/>
      </c>
      <c r="AI64" t="s">
        <v>628</v>
      </c>
      <c r="AJ64" t="s">
        <v>301</v>
      </c>
    </row>
    <row r="65" spans="1:36" ht="14.25" customHeight="1" x14ac:dyDescent="0.35">
      <c r="A65" t="s">
        <v>629</v>
      </c>
      <c r="B65" t="s">
        <v>630</v>
      </c>
      <c r="D65" t="s">
        <v>241</v>
      </c>
      <c r="E65" t="s">
        <v>242</v>
      </c>
      <c r="F65" t="s">
        <v>631</v>
      </c>
      <c r="G65" t="s">
        <v>400</v>
      </c>
      <c r="J65" s="2" t="str">
        <f t="shared" si="7"/>
        <v/>
      </c>
      <c r="K65" t="s">
        <v>424</v>
      </c>
      <c r="N65" s="2" t="str">
        <f t="shared" si="8"/>
        <v/>
      </c>
      <c r="O65" t="s">
        <v>632</v>
      </c>
      <c r="R65" s="2" t="str">
        <f t="shared" si="9"/>
        <v/>
      </c>
      <c r="V65" s="2" t="str">
        <f t="shared" si="10"/>
        <v/>
      </c>
      <c r="W65" t="s">
        <v>633</v>
      </c>
      <c r="Z65" s="2" t="str">
        <f t="shared" si="11"/>
        <v/>
      </c>
      <c r="AD65" s="2" t="str">
        <f t="shared" si="12"/>
        <v/>
      </c>
      <c r="AE65" t="s">
        <v>634</v>
      </c>
      <c r="AG65" s="2" t="str">
        <f t="shared" si="13"/>
        <v/>
      </c>
      <c r="AI65" t="s">
        <v>635</v>
      </c>
      <c r="AJ65" t="s">
        <v>248</v>
      </c>
    </row>
    <row r="66" spans="1:36" ht="14.25" customHeight="1" x14ac:dyDescent="0.35">
      <c r="A66" t="s">
        <v>636</v>
      </c>
      <c r="B66" t="s">
        <v>637</v>
      </c>
      <c r="D66" t="s">
        <v>638</v>
      </c>
      <c r="E66" t="s">
        <v>639</v>
      </c>
      <c r="F66" t="s">
        <v>41</v>
      </c>
      <c r="G66" t="s">
        <v>640</v>
      </c>
      <c r="J66" s="2" t="str">
        <f t="shared" ref="J66:J97" si="14">IF(AND(ISNUMBER(H66),H66&lt;&gt;0),H66*1.3978,"")</f>
        <v/>
      </c>
      <c r="K66" t="s">
        <v>641</v>
      </c>
      <c r="N66" s="2" t="str">
        <f t="shared" ref="N66:N97" si="15">IF(AND(ISNUMBER(L66),L66&lt;&gt;0),L66*1.3978,"")</f>
        <v/>
      </c>
      <c r="R66" s="2" t="str">
        <f t="shared" ref="R66:R97" si="16">IF(AND(ISNUMBER(P66),P66&lt;&gt;0),P66*1.3978,"")</f>
        <v/>
      </c>
      <c r="V66" s="2" t="str">
        <f t="shared" ref="V66:V97" si="17">IF(AND(ISNUMBER(T66),T66&lt;&gt;0),T66*1.3978,"")</f>
        <v/>
      </c>
      <c r="W66" t="s">
        <v>88</v>
      </c>
      <c r="Z66" s="2" t="str">
        <f t="shared" ref="Z66:Z97" si="18">IF(AND(ISNUMBER(X66),X66&lt;&gt;0),X66*1.3978,"")</f>
        <v/>
      </c>
      <c r="AA66" t="s">
        <v>56</v>
      </c>
      <c r="AD66" s="2" t="str">
        <f t="shared" ref="AD66:AD97" si="19">IF(AND(ISNUMBER(AB66),AB66&lt;&gt;0),AB66*1.3978,"")</f>
        <v/>
      </c>
      <c r="AE66" t="s">
        <v>642</v>
      </c>
      <c r="AG66" s="2" t="str">
        <f t="shared" ref="AG66:AG97" si="20">IF(AND(ISNUMBER(AF66),AF66&lt;&gt;0),AF66*1.3978,"")</f>
        <v/>
      </c>
      <c r="AI66" t="s">
        <v>643</v>
      </c>
      <c r="AJ66" t="s">
        <v>644</v>
      </c>
    </row>
    <row r="67" spans="1:36" ht="14.25" customHeight="1" x14ac:dyDescent="0.35">
      <c r="A67" t="s">
        <v>645</v>
      </c>
      <c r="B67" t="s">
        <v>646</v>
      </c>
      <c r="D67" t="s">
        <v>149</v>
      </c>
      <c r="E67" t="s">
        <v>150</v>
      </c>
      <c r="F67" t="s">
        <v>647</v>
      </c>
      <c r="G67" t="s">
        <v>151</v>
      </c>
      <c r="J67" s="2" t="str">
        <f t="shared" si="14"/>
        <v/>
      </c>
      <c r="K67" t="s">
        <v>648</v>
      </c>
      <c r="N67" s="2" t="str">
        <f t="shared" si="15"/>
        <v/>
      </c>
      <c r="O67" t="s">
        <v>649</v>
      </c>
      <c r="R67" s="2" t="str">
        <f t="shared" si="16"/>
        <v/>
      </c>
      <c r="S67" t="s">
        <v>650</v>
      </c>
      <c r="V67" s="2" t="str">
        <f t="shared" si="17"/>
        <v/>
      </c>
      <c r="W67" t="s">
        <v>651</v>
      </c>
      <c r="Z67" s="2" t="str">
        <f t="shared" si="18"/>
        <v/>
      </c>
      <c r="AA67" t="s">
        <v>652</v>
      </c>
      <c r="AD67" s="2" t="str">
        <f t="shared" si="19"/>
        <v/>
      </c>
      <c r="AE67" t="s">
        <v>653</v>
      </c>
      <c r="AG67" s="2" t="str">
        <f t="shared" si="20"/>
        <v/>
      </c>
      <c r="AI67" t="s">
        <v>654</v>
      </c>
      <c r="AJ67" t="s">
        <v>159</v>
      </c>
    </row>
    <row r="68" spans="1:36" ht="14.25" customHeight="1" x14ac:dyDescent="0.35">
      <c r="A68" t="s">
        <v>655</v>
      </c>
      <c r="B68" t="s">
        <v>656</v>
      </c>
      <c r="D68" t="s">
        <v>162</v>
      </c>
      <c r="E68" t="s">
        <v>163</v>
      </c>
      <c r="F68" t="s">
        <v>304</v>
      </c>
      <c r="G68" t="s">
        <v>276</v>
      </c>
      <c r="J68" s="2" t="str">
        <f t="shared" si="14"/>
        <v/>
      </c>
      <c r="K68" t="s">
        <v>339</v>
      </c>
      <c r="N68" s="2" t="str">
        <f t="shared" si="15"/>
        <v/>
      </c>
      <c r="R68" s="2" t="str">
        <f t="shared" si="16"/>
        <v/>
      </c>
      <c r="V68" s="2" t="str">
        <f t="shared" si="17"/>
        <v/>
      </c>
      <c r="W68" t="s">
        <v>657</v>
      </c>
      <c r="Z68" s="2" t="str">
        <f t="shared" si="18"/>
        <v/>
      </c>
      <c r="AD68" s="2" t="str">
        <f t="shared" si="19"/>
        <v/>
      </c>
      <c r="AG68" s="2" t="str">
        <f t="shared" si="20"/>
        <v/>
      </c>
      <c r="AI68" t="s">
        <v>658</v>
      </c>
      <c r="AJ68" t="s">
        <v>170</v>
      </c>
    </row>
    <row r="69" spans="1:36" ht="14.25" customHeight="1" x14ac:dyDescent="0.35">
      <c r="A69" t="s">
        <v>659</v>
      </c>
      <c r="B69" t="s">
        <v>660</v>
      </c>
      <c r="D69" t="s">
        <v>419</v>
      </c>
      <c r="E69" t="s">
        <v>420</v>
      </c>
      <c r="F69" t="s">
        <v>399</v>
      </c>
      <c r="J69" s="2" t="str">
        <f t="shared" si="14"/>
        <v/>
      </c>
      <c r="K69" t="s">
        <v>661</v>
      </c>
      <c r="N69" s="2" t="str">
        <f t="shared" si="15"/>
        <v/>
      </c>
      <c r="O69" t="s">
        <v>662</v>
      </c>
      <c r="R69" s="2" t="str">
        <f t="shared" si="16"/>
        <v/>
      </c>
      <c r="S69" t="s">
        <v>663</v>
      </c>
      <c r="V69" s="2" t="str">
        <f t="shared" si="17"/>
        <v/>
      </c>
      <c r="W69" t="s">
        <v>664</v>
      </c>
      <c r="Z69" s="2" t="str">
        <f t="shared" si="18"/>
        <v/>
      </c>
      <c r="AD69" s="2" t="str">
        <f t="shared" si="19"/>
        <v/>
      </c>
      <c r="AE69" t="s">
        <v>665</v>
      </c>
      <c r="AG69" s="2" t="str">
        <f t="shared" si="20"/>
        <v/>
      </c>
      <c r="AI69" t="s">
        <v>666</v>
      </c>
      <c r="AJ69" t="s">
        <v>428</v>
      </c>
    </row>
    <row r="70" spans="1:36" ht="14.25" customHeight="1" x14ac:dyDescent="0.35">
      <c r="A70" t="s">
        <v>408</v>
      </c>
      <c r="B70" t="s">
        <v>667</v>
      </c>
      <c r="D70" t="s">
        <v>291</v>
      </c>
      <c r="E70" t="s">
        <v>292</v>
      </c>
      <c r="F70" t="s">
        <v>668</v>
      </c>
      <c r="J70" s="2" t="str">
        <f t="shared" si="14"/>
        <v/>
      </c>
      <c r="K70" t="s">
        <v>669</v>
      </c>
      <c r="N70" s="2" t="str">
        <f t="shared" si="15"/>
        <v/>
      </c>
      <c r="O70" t="s">
        <v>424</v>
      </c>
      <c r="R70" s="2" t="str">
        <f t="shared" si="16"/>
        <v/>
      </c>
      <c r="S70" t="s">
        <v>496</v>
      </c>
      <c r="V70" s="2" t="str">
        <f t="shared" si="17"/>
        <v/>
      </c>
      <c r="W70" t="s">
        <v>670</v>
      </c>
      <c r="Z70" s="2" t="str">
        <f t="shared" si="18"/>
        <v/>
      </c>
      <c r="AA70" t="s">
        <v>671</v>
      </c>
      <c r="AD70" s="2" t="str">
        <f t="shared" si="19"/>
        <v/>
      </c>
      <c r="AE70" t="s">
        <v>672</v>
      </c>
      <c r="AG70" s="2" t="str">
        <f t="shared" si="20"/>
        <v/>
      </c>
      <c r="AI70" t="s">
        <v>673</v>
      </c>
      <c r="AJ70" t="s">
        <v>301</v>
      </c>
    </row>
    <row r="71" spans="1:36" ht="14.25" customHeight="1" x14ac:dyDescent="0.35">
      <c r="A71" t="s">
        <v>674</v>
      </c>
      <c r="B71" t="s">
        <v>675</v>
      </c>
      <c r="D71" t="s">
        <v>291</v>
      </c>
      <c r="E71" t="s">
        <v>292</v>
      </c>
      <c r="F71" t="s">
        <v>676</v>
      </c>
      <c r="J71" s="2" t="str">
        <f t="shared" si="14"/>
        <v/>
      </c>
      <c r="K71" t="s">
        <v>677</v>
      </c>
      <c r="N71" s="2" t="str">
        <f t="shared" si="15"/>
        <v/>
      </c>
      <c r="O71" t="s">
        <v>678</v>
      </c>
      <c r="R71" s="2" t="str">
        <f t="shared" si="16"/>
        <v/>
      </c>
      <c r="S71" t="s">
        <v>679</v>
      </c>
      <c r="V71" s="2" t="str">
        <f t="shared" si="17"/>
        <v/>
      </c>
      <c r="W71" t="s">
        <v>680</v>
      </c>
      <c r="Z71" s="2" t="str">
        <f t="shared" si="18"/>
        <v/>
      </c>
      <c r="AD71" s="2" t="str">
        <f t="shared" si="19"/>
        <v/>
      </c>
      <c r="AE71" t="s">
        <v>681</v>
      </c>
      <c r="AG71" s="2" t="str">
        <f t="shared" si="20"/>
        <v/>
      </c>
      <c r="AI71" t="s">
        <v>682</v>
      </c>
      <c r="AJ71" t="s">
        <v>301</v>
      </c>
    </row>
    <row r="72" spans="1:36" ht="14.25" customHeight="1" x14ac:dyDescent="0.35">
      <c r="A72" t="s">
        <v>683</v>
      </c>
      <c r="B72" t="s">
        <v>684</v>
      </c>
      <c r="D72" t="s">
        <v>685</v>
      </c>
      <c r="E72" t="s">
        <v>686</v>
      </c>
      <c r="F72" t="s">
        <v>41</v>
      </c>
      <c r="G72" t="s">
        <v>687</v>
      </c>
      <c r="J72" s="2" t="str">
        <f t="shared" si="14"/>
        <v/>
      </c>
      <c r="K72" t="s">
        <v>688</v>
      </c>
      <c r="N72" s="2" t="str">
        <f t="shared" si="15"/>
        <v/>
      </c>
      <c r="R72" s="2" t="str">
        <f t="shared" si="16"/>
        <v/>
      </c>
      <c r="V72" s="2" t="str">
        <f t="shared" si="17"/>
        <v/>
      </c>
      <c r="W72" t="s">
        <v>689</v>
      </c>
      <c r="Z72" s="2" t="str">
        <f t="shared" si="18"/>
        <v/>
      </c>
      <c r="AA72" t="s">
        <v>690</v>
      </c>
      <c r="AD72" s="2" t="str">
        <f t="shared" si="19"/>
        <v/>
      </c>
      <c r="AE72" t="s">
        <v>691</v>
      </c>
      <c r="AG72" s="2" t="str">
        <f t="shared" si="20"/>
        <v/>
      </c>
      <c r="AI72" t="s">
        <v>692</v>
      </c>
      <c r="AJ72" t="s">
        <v>693</v>
      </c>
    </row>
    <row r="73" spans="1:36" ht="14.25" customHeight="1" x14ac:dyDescent="0.35">
      <c r="A73" t="s">
        <v>694</v>
      </c>
      <c r="B73" t="s">
        <v>695</v>
      </c>
      <c r="D73" t="s">
        <v>696</v>
      </c>
      <c r="E73" t="s">
        <v>697</v>
      </c>
      <c r="F73" t="s">
        <v>698</v>
      </c>
      <c r="G73" t="s">
        <v>699</v>
      </c>
      <c r="J73" s="2" t="str">
        <f t="shared" si="14"/>
        <v/>
      </c>
      <c r="K73" t="s">
        <v>700</v>
      </c>
      <c r="N73" s="2" t="str">
        <f t="shared" si="15"/>
        <v/>
      </c>
      <c r="R73" s="2" t="str">
        <f t="shared" si="16"/>
        <v/>
      </c>
      <c r="V73" s="2" t="str">
        <f t="shared" si="17"/>
        <v/>
      </c>
      <c r="W73" t="s">
        <v>140</v>
      </c>
      <c r="Z73" s="2" t="str">
        <f t="shared" si="18"/>
        <v/>
      </c>
      <c r="AA73" t="s">
        <v>701</v>
      </c>
      <c r="AD73" s="2" t="str">
        <f t="shared" si="19"/>
        <v/>
      </c>
      <c r="AG73" s="2" t="str">
        <f t="shared" si="20"/>
        <v/>
      </c>
      <c r="AI73" t="s">
        <v>702</v>
      </c>
      <c r="AJ73" t="s">
        <v>703</v>
      </c>
    </row>
    <row r="74" spans="1:36" ht="14.25" customHeight="1" x14ac:dyDescent="0.35">
      <c r="A74" t="s">
        <v>704</v>
      </c>
      <c r="B74" t="s">
        <v>705</v>
      </c>
      <c r="D74" t="s">
        <v>149</v>
      </c>
      <c r="E74" t="s">
        <v>150</v>
      </c>
      <c r="F74" t="s">
        <v>706</v>
      </c>
      <c r="G74" t="s">
        <v>151</v>
      </c>
      <c r="J74" s="2" t="str">
        <f t="shared" si="14"/>
        <v/>
      </c>
      <c r="K74" t="s">
        <v>707</v>
      </c>
      <c r="N74" s="2" t="str">
        <f t="shared" si="15"/>
        <v/>
      </c>
      <c r="O74" t="s">
        <v>708</v>
      </c>
      <c r="R74" s="2" t="str">
        <f t="shared" si="16"/>
        <v/>
      </c>
      <c r="S74" t="s">
        <v>709</v>
      </c>
      <c r="V74" s="2" t="str">
        <f t="shared" si="17"/>
        <v/>
      </c>
      <c r="W74" t="s">
        <v>710</v>
      </c>
      <c r="Z74" s="2" t="str">
        <f t="shared" si="18"/>
        <v/>
      </c>
      <c r="AA74" t="s">
        <v>711</v>
      </c>
      <c r="AD74" s="2" t="str">
        <f t="shared" si="19"/>
        <v/>
      </c>
      <c r="AE74" t="s">
        <v>712</v>
      </c>
      <c r="AG74" s="2" t="str">
        <f t="shared" si="20"/>
        <v/>
      </c>
      <c r="AI74" t="s">
        <v>713</v>
      </c>
      <c r="AJ74" t="s">
        <v>159</v>
      </c>
    </row>
    <row r="75" spans="1:36" ht="14.25" customHeight="1" x14ac:dyDescent="0.35">
      <c r="A75" t="s">
        <v>714</v>
      </c>
      <c r="B75" t="s">
        <v>715</v>
      </c>
      <c r="D75" t="s">
        <v>716</v>
      </c>
      <c r="E75" t="s">
        <v>717</v>
      </c>
      <c r="F75" t="s">
        <v>41</v>
      </c>
      <c r="G75" t="s">
        <v>718</v>
      </c>
      <c r="J75" s="2" t="str">
        <f t="shared" si="14"/>
        <v/>
      </c>
      <c r="K75" t="s">
        <v>719</v>
      </c>
      <c r="N75" s="2" t="str">
        <f t="shared" si="15"/>
        <v/>
      </c>
      <c r="R75" s="2" t="str">
        <f t="shared" si="16"/>
        <v/>
      </c>
      <c r="V75" s="2" t="str">
        <f t="shared" si="17"/>
        <v/>
      </c>
      <c r="W75" t="s">
        <v>720</v>
      </c>
      <c r="Z75" s="2" t="str">
        <f t="shared" si="18"/>
        <v/>
      </c>
      <c r="AA75" t="s">
        <v>721</v>
      </c>
      <c r="AD75" s="2" t="str">
        <f t="shared" si="19"/>
        <v/>
      </c>
      <c r="AG75" s="2" t="str">
        <f t="shared" si="20"/>
        <v/>
      </c>
      <c r="AI75" t="s">
        <v>722</v>
      </c>
      <c r="AJ75" t="s">
        <v>723</v>
      </c>
    </row>
    <row r="76" spans="1:36" ht="14.25" customHeight="1" x14ac:dyDescent="0.35">
      <c r="A76" t="s">
        <v>429</v>
      </c>
      <c r="B76" t="s">
        <v>724</v>
      </c>
      <c r="D76" t="s">
        <v>725</v>
      </c>
      <c r="E76" t="s">
        <v>726</v>
      </c>
      <c r="F76" t="s">
        <v>41</v>
      </c>
      <c r="G76" t="s">
        <v>372</v>
      </c>
      <c r="J76" s="2" t="str">
        <f t="shared" si="14"/>
        <v/>
      </c>
      <c r="K76" t="s">
        <v>727</v>
      </c>
      <c r="N76" s="2" t="str">
        <f t="shared" si="15"/>
        <v/>
      </c>
      <c r="O76" t="s">
        <v>728</v>
      </c>
      <c r="R76" s="2" t="str">
        <f t="shared" si="16"/>
        <v/>
      </c>
      <c r="V76" s="2" t="str">
        <f t="shared" si="17"/>
        <v/>
      </c>
      <c r="Z76" s="2" t="str">
        <f t="shared" si="18"/>
        <v/>
      </c>
      <c r="AA76" t="s">
        <v>729</v>
      </c>
      <c r="AD76" s="2" t="str">
        <f t="shared" si="19"/>
        <v/>
      </c>
      <c r="AE76" t="s">
        <v>730</v>
      </c>
      <c r="AG76" s="2" t="str">
        <f t="shared" si="20"/>
        <v/>
      </c>
      <c r="AI76" t="s">
        <v>731</v>
      </c>
      <c r="AJ76" t="s">
        <v>732</v>
      </c>
    </row>
    <row r="77" spans="1:36" ht="14.25" customHeight="1" x14ac:dyDescent="0.35">
      <c r="A77" t="s">
        <v>733</v>
      </c>
      <c r="B77" t="s">
        <v>734</v>
      </c>
      <c r="D77" t="s">
        <v>638</v>
      </c>
      <c r="E77" t="s">
        <v>639</v>
      </c>
      <c r="F77" t="s">
        <v>221</v>
      </c>
      <c r="G77" t="s">
        <v>640</v>
      </c>
      <c r="J77" s="2" t="str">
        <f t="shared" si="14"/>
        <v/>
      </c>
      <c r="K77" t="s">
        <v>735</v>
      </c>
      <c r="N77" s="2" t="str">
        <f t="shared" si="15"/>
        <v/>
      </c>
      <c r="R77" s="2" t="str">
        <f t="shared" si="16"/>
        <v/>
      </c>
      <c r="V77" s="2" t="str">
        <f t="shared" si="17"/>
        <v/>
      </c>
      <c r="W77" t="s">
        <v>736</v>
      </c>
      <c r="Z77" s="2" t="str">
        <f t="shared" si="18"/>
        <v/>
      </c>
      <c r="AA77" t="s">
        <v>737</v>
      </c>
      <c r="AD77" s="2" t="str">
        <f t="shared" si="19"/>
        <v/>
      </c>
      <c r="AG77" s="2" t="str">
        <f t="shared" si="20"/>
        <v/>
      </c>
      <c r="AI77" t="s">
        <v>738</v>
      </c>
      <c r="AJ77" t="s">
        <v>644</v>
      </c>
    </row>
    <row r="78" spans="1:36" ht="14.25" customHeight="1" x14ac:dyDescent="0.35">
      <c r="A78" t="s">
        <v>739</v>
      </c>
      <c r="B78" t="s">
        <v>740</v>
      </c>
      <c r="D78" t="s">
        <v>638</v>
      </c>
      <c r="E78" t="s">
        <v>639</v>
      </c>
      <c r="F78" t="s">
        <v>741</v>
      </c>
      <c r="G78" t="s">
        <v>640</v>
      </c>
      <c r="J78" s="2" t="str">
        <f t="shared" si="14"/>
        <v/>
      </c>
      <c r="K78" t="s">
        <v>55</v>
      </c>
      <c r="N78" s="2" t="str">
        <f t="shared" si="15"/>
        <v/>
      </c>
      <c r="R78" s="2" t="str">
        <f t="shared" si="16"/>
        <v/>
      </c>
      <c r="V78" s="2" t="str">
        <f t="shared" si="17"/>
        <v/>
      </c>
      <c r="W78" t="s">
        <v>742</v>
      </c>
      <c r="Z78" s="2" t="str">
        <f t="shared" si="18"/>
        <v/>
      </c>
      <c r="AD78" s="2" t="str">
        <f t="shared" si="19"/>
        <v/>
      </c>
      <c r="AE78" t="s">
        <v>743</v>
      </c>
      <c r="AG78" s="2" t="str">
        <f t="shared" si="20"/>
        <v/>
      </c>
      <c r="AI78" t="s">
        <v>744</v>
      </c>
      <c r="AJ78" t="s">
        <v>644</v>
      </c>
    </row>
    <row r="79" spans="1:36" ht="14.25" customHeight="1" x14ac:dyDescent="0.35">
      <c r="A79" t="s">
        <v>745</v>
      </c>
      <c r="B79" t="s">
        <v>746</v>
      </c>
      <c r="D79" t="s">
        <v>638</v>
      </c>
      <c r="E79" t="s">
        <v>639</v>
      </c>
      <c r="F79" t="s">
        <v>747</v>
      </c>
      <c r="G79" t="s">
        <v>640</v>
      </c>
      <c r="J79" s="2" t="str">
        <f t="shared" si="14"/>
        <v/>
      </c>
      <c r="K79" t="s">
        <v>55</v>
      </c>
      <c r="N79" s="2" t="str">
        <f t="shared" si="15"/>
        <v/>
      </c>
      <c r="R79" s="2" t="str">
        <f t="shared" si="16"/>
        <v/>
      </c>
      <c r="V79" s="2" t="str">
        <f t="shared" si="17"/>
        <v/>
      </c>
      <c r="W79" t="s">
        <v>742</v>
      </c>
      <c r="Z79" s="2" t="str">
        <f t="shared" si="18"/>
        <v/>
      </c>
      <c r="AD79" s="2" t="str">
        <f t="shared" si="19"/>
        <v/>
      </c>
      <c r="AE79" t="s">
        <v>743</v>
      </c>
      <c r="AG79" s="2" t="str">
        <f t="shared" si="20"/>
        <v/>
      </c>
      <c r="AI79" t="s">
        <v>744</v>
      </c>
      <c r="AJ79" t="s">
        <v>644</v>
      </c>
    </row>
    <row r="80" spans="1:36" ht="14.25" customHeight="1" x14ac:dyDescent="0.35">
      <c r="A80" t="s">
        <v>748</v>
      </c>
      <c r="B80" t="s">
        <v>749</v>
      </c>
      <c r="D80" t="s">
        <v>472</v>
      </c>
      <c r="E80" t="s">
        <v>473</v>
      </c>
      <c r="F80" t="s">
        <v>221</v>
      </c>
      <c r="G80" t="s">
        <v>750</v>
      </c>
      <c r="I80" t="s">
        <v>166</v>
      </c>
      <c r="J80" s="2" t="str">
        <f t="shared" si="14"/>
        <v/>
      </c>
      <c r="K80">
        <v>547920</v>
      </c>
      <c r="M80" t="s">
        <v>751</v>
      </c>
      <c r="N80" s="2" t="str">
        <f t="shared" si="15"/>
        <v/>
      </c>
      <c r="R80" s="2" t="str">
        <f t="shared" si="16"/>
        <v/>
      </c>
      <c r="S80">
        <v>0</v>
      </c>
      <c r="U80" t="s">
        <v>752</v>
      </c>
      <c r="V80" s="2" t="str">
        <f t="shared" si="17"/>
        <v/>
      </c>
      <c r="W80">
        <v>662298.30000000005</v>
      </c>
      <c r="Z80" s="2" t="str">
        <f t="shared" si="18"/>
        <v/>
      </c>
      <c r="AA80">
        <v>0</v>
      </c>
      <c r="AC80" t="s">
        <v>753</v>
      </c>
      <c r="AD80" s="2" t="str">
        <f t="shared" si="19"/>
        <v/>
      </c>
      <c r="AE80" t="s">
        <v>754</v>
      </c>
      <c r="AG80" s="2" t="str">
        <f t="shared" si="20"/>
        <v/>
      </c>
      <c r="AH80" t="s">
        <v>755</v>
      </c>
      <c r="AI80" t="s">
        <v>756</v>
      </c>
      <c r="AJ80" t="s">
        <v>482</v>
      </c>
    </row>
    <row r="81" spans="1:36" ht="14.25" customHeight="1" x14ac:dyDescent="0.35">
      <c r="A81" t="s">
        <v>408</v>
      </c>
      <c r="B81" t="s">
        <v>757</v>
      </c>
      <c r="D81" t="s">
        <v>345</v>
      </c>
      <c r="E81" t="s">
        <v>346</v>
      </c>
      <c r="F81" t="s">
        <v>221</v>
      </c>
      <c r="G81" t="s">
        <v>117</v>
      </c>
      <c r="J81" s="2" t="str">
        <f t="shared" si="14"/>
        <v/>
      </c>
      <c r="K81" t="s">
        <v>758</v>
      </c>
      <c r="N81" s="2" t="str">
        <f t="shared" si="15"/>
        <v/>
      </c>
      <c r="O81" t="s">
        <v>759</v>
      </c>
      <c r="R81" s="2" t="str">
        <f t="shared" si="16"/>
        <v/>
      </c>
      <c r="S81" t="s">
        <v>760</v>
      </c>
      <c r="V81" s="2" t="str">
        <f t="shared" si="17"/>
        <v/>
      </c>
      <c r="W81" t="s">
        <v>761</v>
      </c>
      <c r="Z81" s="2" t="str">
        <f t="shared" si="18"/>
        <v/>
      </c>
      <c r="AA81" t="s">
        <v>762</v>
      </c>
      <c r="AD81" s="2" t="str">
        <f t="shared" si="19"/>
        <v/>
      </c>
      <c r="AE81" t="s">
        <v>763</v>
      </c>
      <c r="AG81" s="2" t="str">
        <f t="shared" si="20"/>
        <v/>
      </c>
      <c r="AI81" t="s">
        <v>764</v>
      </c>
      <c r="AJ81" t="s">
        <v>353</v>
      </c>
    </row>
    <row r="82" spans="1:36" ht="14.25" customHeight="1" x14ac:dyDescent="0.35">
      <c r="A82" t="s">
        <v>429</v>
      </c>
      <c r="B82" t="s">
        <v>765</v>
      </c>
      <c r="D82">
        <v>-139562073</v>
      </c>
      <c r="E82" t="s">
        <v>766</v>
      </c>
      <c r="F82" t="s">
        <v>431</v>
      </c>
      <c r="G82" t="s">
        <v>117</v>
      </c>
      <c r="J82" s="2" t="str">
        <f t="shared" si="14"/>
        <v/>
      </c>
      <c r="K82" t="s">
        <v>767</v>
      </c>
      <c r="N82" s="2" t="str">
        <f t="shared" si="15"/>
        <v/>
      </c>
      <c r="O82" t="s">
        <v>768</v>
      </c>
      <c r="R82" s="2" t="str">
        <f t="shared" si="16"/>
        <v/>
      </c>
      <c r="S82" t="s">
        <v>769</v>
      </c>
      <c r="V82" s="2" t="str">
        <f t="shared" si="17"/>
        <v/>
      </c>
      <c r="W82" t="s">
        <v>770</v>
      </c>
      <c r="Z82" s="2" t="str">
        <f t="shared" si="18"/>
        <v/>
      </c>
      <c r="AA82" t="s">
        <v>771</v>
      </c>
      <c r="AD82" s="2" t="str">
        <f t="shared" si="19"/>
        <v/>
      </c>
      <c r="AE82" t="s">
        <v>772</v>
      </c>
      <c r="AG82" s="2" t="str">
        <f t="shared" si="20"/>
        <v/>
      </c>
      <c r="AI82" t="s">
        <v>773</v>
      </c>
      <c r="AJ82" t="s">
        <v>353</v>
      </c>
    </row>
    <row r="83" spans="1:36" ht="14.25" customHeight="1" x14ac:dyDescent="0.35">
      <c r="A83" t="s">
        <v>289</v>
      </c>
      <c r="B83" t="s">
        <v>774</v>
      </c>
      <c r="D83" t="s">
        <v>775</v>
      </c>
      <c r="E83" t="s">
        <v>776</v>
      </c>
      <c r="F83" t="s">
        <v>41</v>
      </c>
      <c r="G83" t="s">
        <v>777</v>
      </c>
      <c r="J83" s="2" t="str">
        <f t="shared" si="14"/>
        <v/>
      </c>
      <c r="K83" t="s">
        <v>778</v>
      </c>
      <c r="N83" s="2" t="str">
        <f t="shared" si="15"/>
        <v/>
      </c>
      <c r="R83" s="2" t="str">
        <f t="shared" si="16"/>
        <v/>
      </c>
      <c r="V83" s="2" t="str">
        <f t="shared" si="17"/>
        <v/>
      </c>
      <c r="W83" t="s">
        <v>779</v>
      </c>
      <c r="Z83" s="2" t="str">
        <f t="shared" si="18"/>
        <v/>
      </c>
      <c r="AA83" t="s">
        <v>780</v>
      </c>
      <c r="AD83" s="2" t="str">
        <f t="shared" si="19"/>
        <v/>
      </c>
      <c r="AE83" t="s">
        <v>781</v>
      </c>
      <c r="AG83" s="2" t="str">
        <f t="shared" si="20"/>
        <v/>
      </c>
      <c r="AI83" t="s">
        <v>782</v>
      </c>
      <c r="AJ83" t="s">
        <v>783</v>
      </c>
    </row>
    <row r="84" spans="1:36" ht="14.25" customHeight="1" x14ac:dyDescent="0.35">
      <c r="A84" t="s">
        <v>549</v>
      </c>
      <c r="B84" t="s">
        <v>784</v>
      </c>
      <c r="C84" t="s">
        <v>785</v>
      </c>
      <c r="D84" t="s">
        <v>685</v>
      </c>
      <c r="E84" t="s">
        <v>686</v>
      </c>
      <c r="F84" t="s">
        <v>786</v>
      </c>
      <c r="G84" t="s">
        <v>372</v>
      </c>
      <c r="J84" s="2" t="str">
        <f t="shared" si="14"/>
        <v/>
      </c>
      <c r="K84" t="s">
        <v>787</v>
      </c>
      <c r="N84" s="2" t="str">
        <f t="shared" si="15"/>
        <v/>
      </c>
      <c r="R84" s="2" t="str">
        <f t="shared" si="16"/>
        <v/>
      </c>
      <c r="V84" s="2" t="str">
        <f t="shared" si="17"/>
        <v/>
      </c>
      <c r="W84" t="s">
        <v>788</v>
      </c>
      <c r="Z84" s="2" t="str">
        <f t="shared" si="18"/>
        <v/>
      </c>
      <c r="AA84" t="s">
        <v>789</v>
      </c>
      <c r="AD84" s="2" t="str">
        <f t="shared" si="19"/>
        <v/>
      </c>
      <c r="AE84" t="s">
        <v>790</v>
      </c>
      <c r="AG84" s="2" t="str">
        <f t="shared" si="20"/>
        <v/>
      </c>
      <c r="AI84" t="s">
        <v>791</v>
      </c>
      <c r="AJ84" t="s">
        <v>693</v>
      </c>
    </row>
    <row r="85" spans="1:36" ht="14.25" customHeight="1" x14ac:dyDescent="0.35">
      <c r="A85" t="s">
        <v>792</v>
      </c>
      <c r="B85" t="s">
        <v>793</v>
      </c>
      <c r="D85" t="s">
        <v>685</v>
      </c>
      <c r="E85" t="s">
        <v>686</v>
      </c>
      <c r="F85" t="s">
        <v>794</v>
      </c>
      <c r="G85" t="s">
        <v>372</v>
      </c>
      <c r="J85" s="2" t="str">
        <f t="shared" si="14"/>
        <v/>
      </c>
      <c r="K85" t="s">
        <v>795</v>
      </c>
      <c r="N85" s="2" t="str">
        <f t="shared" si="15"/>
        <v/>
      </c>
      <c r="R85" s="2" t="str">
        <f t="shared" si="16"/>
        <v/>
      </c>
      <c r="V85" s="2" t="str">
        <f t="shared" si="17"/>
        <v/>
      </c>
      <c r="W85" t="s">
        <v>796</v>
      </c>
      <c r="Z85" s="2" t="str">
        <f t="shared" si="18"/>
        <v/>
      </c>
      <c r="AA85" t="s">
        <v>797</v>
      </c>
      <c r="AD85" s="2" t="str">
        <f t="shared" si="19"/>
        <v/>
      </c>
      <c r="AE85" t="s">
        <v>798</v>
      </c>
      <c r="AG85" s="2" t="str">
        <f t="shared" si="20"/>
        <v/>
      </c>
      <c r="AI85" t="s">
        <v>799</v>
      </c>
      <c r="AJ85" t="s">
        <v>693</v>
      </c>
    </row>
    <row r="86" spans="1:36" ht="14.25" customHeight="1" x14ac:dyDescent="0.35">
      <c r="A86" t="s">
        <v>491</v>
      </c>
      <c r="B86" t="s">
        <v>800</v>
      </c>
      <c r="D86" t="s">
        <v>801</v>
      </c>
      <c r="E86" t="s">
        <v>802</v>
      </c>
      <c r="F86" t="s">
        <v>41</v>
      </c>
      <c r="J86" s="2" t="str">
        <f t="shared" si="14"/>
        <v/>
      </c>
      <c r="K86" t="s">
        <v>803</v>
      </c>
      <c r="N86" s="2" t="str">
        <f t="shared" si="15"/>
        <v/>
      </c>
      <c r="O86" t="s">
        <v>804</v>
      </c>
      <c r="R86" s="2" t="str">
        <f t="shared" si="16"/>
        <v/>
      </c>
      <c r="S86" t="s">
        <v>805</v>
      </c>
      <c r="V86" s="2" t="str">
        <f t="shared" si="17"/>
        <v/>
      </c>
      <c r="Z86" s="2" t="str">
        <f t="shared" si="18"/>
        <v/>
      </c>
      <c r="AA86" t="s">
        <v>806</v>
      </c>
      <c r="AD86" s="2" t="str">
        <f t="shared" si="19"/>
        <v/>
      </c>
      <c r="AE86" t="s">
        <v>56</v>
      </c>
      <c r="AG86" s="2" t="str">
        <f t="shared" si="20"/>
        <v/>
      </c>
      <c r="AI86" t="s">
        <v>807</v>
      </c>
      <c r="AJ86" t="s">
        <v>808</v>
      </c>
    </row>
    <row r="87" spans="1:36" ht="14.25" customHeight="1" x14ac:dyDescent="0.35">
      <c r="A87" t="s">
        <v>520</v>
      </c>
      <c r="B87" t="s">
        <v>809</v>
      </c>
      <c r="D87">
        <v>-13444000</v>
      </c>
      <c r="E87" t="s">
        <v>612</v>
      </c>
      <c r="F87" t="s">
        <v>431</v>
      </c>
      <c r="G87" t="s">
        <v>400</v>
      </c>
      <c r="J87" s="2" t="str">
        <f t="shared" si="14"/>
        <v/>
      </c>
      <c r="K87" t="s">
        <v>810</v>
      </c>
      <c r="N87" s="2" t="str">
        <f t="shared" si="15"/>
        <v/>
      </c>
      <c r="O87" t="s">
        <v>811</v>
      </c>
      <c r="R87" s="2" t="str">
        <f t="shared" si="16"/>
        <v/>
      </c>
      <c r="S87" t="s">
        <v>812</v>
      </c>
      <c r="V87" s="2" t="str">
        <f t="shared" si="17"/>
        <v/>
      </c>
      <c r="W87" t="s">
        <v>813</v>
      </c>
      <c r="Z87" s="2" t="str">
        <f t="shared" si="18"/>
        <v/>
      </c>
      <c r="AA87" t="s">
        <v>814</v>
      </c>
      <c r="AD87" s="2" t="str">
        <f t="shared" si="19"/>
        <v/>
      </c>
      <c r="AG87" s="2" t="str">
        <f t="shared" si="20"/>
        <v/>
      </c>
      <c r="AI87" t="s">
        <v>815</v>
      </c>
      <c r="AJ87" t="s">
        <v>619</v>
      </c>
    </row>
    <row r="88" spans="1:36" ht="14.25" customHeight="1" x14ac:dyDescent="0.35">
      <c r="A88" t="s">
        <v>816</v>
      </c>
      <c r="B88" t="s">
        <v>817</v>
      </c>
      <c r="D88" t="s">
        <v>801</v>
      </c>
      <c r="E88" t="s">
        <v>802</v>
      </c>
      <c r="F88" t="s">
        <v>818</v>
      </c>
      <c r="G88" t="s">
        <v>372</v>
      </c>
      <c r="J88" s="2" t="str">
        <f t="shared" si="14"/>
        <v/>
      </c>
      <c r="K88" t="s">
        <v>819</v>
      </c>
      <c r="N88" s="2" t="str">
        <f t="shared" si="15"/>
        <v/>
      </c>
      <c r="O88" t="s">
        <v>820</v>
      </c>
      <c r="R88" s="2" t="str">
        <f t="shared" si="16"/>
        <v/>
      </c>
      <c r="S88" t="s">
        <v>821</v>
      </c>
      <c r="V88" s="2" t="str">
        <f t="shared" si="17"/>
        <v/>
      </c>
      <c r="Z88" s="2" t="str">
        <f t="shared" si="18"/>
        <v/>
      </c>
      <c r="AA88" t="s">
        <v>822</v>
      </c>
      <c r="AD88" s="2" t="str">
        <f t="shared" si="19"/>
        <v/>
      </c>
      <c r="AE88" t="s">
        <v>56</v>
      </c>
      <c r="AG88" s="2" t="str">
        <f t="shared" si="20"/>
        <v/>
      </c>
      <c r="AI88" t="s">
        <v>823</v>
      </c>
      <c r="AJ88" t="s">
        <v>808</v>
      </c>
    </row>
    <row r="89" spans="1:36" ht="14.25" customHeight="1" x14ac:dyDescent="0.35">
      <c r="A89" t="s">
        <v>289</v>
      </c>
      <c r="B89" t="s">
        <v>824</v>
      </c>
      <c r="D89" t="s">
        <v>801</v>
      </c>
      <c r="E89" t="s">
        <v>802</v>
      </c>
      <c r="F89" t="s">
        <v>794</v>
      </c>
      <c r="G89" t="s">
        <v>372</v>
      </c>
      <c r="J89" s="2" t="str">
        <f t="shared" si="14"/>
        <v/>
      </c>
      <c r="K89" t="s">
        <v>825</v>
      </c>
      <c r="N89" s="2" t="str">
        <f t="shared" si="15"/>
        <v/>
      </c>
      <c r="O89" t="s">
        <v>826</v>
      </c>
      <c r="R89" s="2" t="str">
        <f t="shared" si="16"/>
        <v/>
      </c>
      <c r="S89" t="s">
        <v>827</v>
      </c>
      <c r="V89" s="2" t="str">
        <f t="shared" si="17"/>
        <v/>
      </c>
      <c r="Z89" s="2" t="str">
        <f t="shared" si="18"/>
        <v/>
      </c>
      <c r="AA89" t="s">
        <v>828</v>
      </c>
      <c r="AD89" s="2" t="str">
        <f t="shared" si="19"/>
        <v/>
      </c>
      <c r="AE89" t="s">
        <v>829</v>
      </c>
      <c r="AG89" s="2" t="str">
        <f t="shared" si="20"/>
        <v/>
      </c>
      <c r="AI89" t="s">
        <v>830</v>
      </c>
      <c r="AJ89" t="s">
        <v>808</v>
      </c>
    </row>
    <row r="90" spans="1:36" ht="14.25" customHeight="1" x14ac:dyDescent="0.35">
      <c r="A90" t="s">
        <v>408</v>
      </c>
      <c r="B90" t="s">
        <v>831</v>
      </c>
      <c r="D90" t="s">
        <v>685</v>
      </c>
      <c r="E90" t="s">
        <v>686</v>
      </c>
      <c r="F90" t="s">
        <v>832</v>
      </c>
      <c r="G90" t="s">
        <v>372</v>
      </c>
      <c r="J90" s="2" t="str">
        <f t="shared" si="14"/>
        <v/>
      </c>
      <c r="K90" t="s">
        <v>833</v>
      </c>
      <c r="N90" s="2" t="str">
        <f t="shared" si="15"/>
        <v/>
      </c>
      <c r="R90" s="2" t="str">
        <f t="shared" si="16"/>
        <v/>
      </c>
      <c r="V90" s="2" t="str">
        <f t="shared" si="17"/>
        <v/>
      </c>
      <c r="W90" t="s">
        <v>834</v>
      </c>
      <c r="Z90" s="2" t="str">
        <f t="shared" si="18"/>
        <v/>
      </c>
      <c r="AA90" t="s">
        <v>835</v>
      </c>
      <c r="AD90" s="2" t="str">
        <f t="shared" si="19"/>
        <v/>
      </c>
      <c r="AE90" t="s">
        <v>836</v>
      </c>
      <c r="AG90" s="2" t="str">
        <f t="shared" si="20"/>
        <v/>
      </c>
      <c r="AI90" t="s">
        <v>837</v>
      </c>
      <c r="AJ90" t="s">
        <v>693</v>
      </c>
    </row>
    <row r="91" spans="1:36" ht="14.25" customHeight="1" x14ac:dyDescent="0.35">
      <c r="A91" t="s">
        <v>838</v>
      </c>
      <c r="B91" t="s">
        <v>839</v>
      </c>
      <c r="D91">
        <v>-13444000</v>
      </c>
      <c r="E91" t="s">
        <v>612</v>
      </c>
      <c r="F91" t="s">
        <v>221</v>
      </c>
      <c r="G91" t="s">
        <v>400</v>
      </c>
      <c r="J91" s="2" t="str">
        <f t="shared" si="14"/>
        <v/>
      </c>
      <c r="K91" t="s">
        <v>840</v>
      </c>
      <c r="N91" s="2" t="str">
        <f t="shared" si="15"/>
        <v/>
      </c>
      <c r="O91" t="s">
        <v>811</v>
      </c>
      <c r="R91" s="2" t="str">
        <f t="shared" si="16"/>
        <v/>
      </c>
      <c r="S91" t="s">
        <v>812</v>
      </c>
      <c r="V91" s="2" t="str">
        <f t="shared" si="17"/>
        <v/>
      </c>
      <c r="W91" t="s">
        <v>841</v>
      </c>
      <c r="Z91" s="2" t="str">
        <f t="shared" si="18"/>
        <v/>
      </c>
      <c r="AA91" t="s">
        <v>842</v>
      </c>
      <c r="AD91" s="2" t="str">
        <f t="shared" si="19"/>
        <v/>
      </c>
      <c r="AE91" t="s">
        <v>56</v>
      </c>
      <c r="AG91" s="2" t="str">
        <f t="shared" si="20"/>
        <v/>
      </c>
      <c r="AI91" t="s">
        <v>843</v>
      </c>
      <c r="AJ91" t="s">
        <v>619</v>
      </c>
    </row>
    <row r="92" spans="1:36" ht="14.25" customHeight="1" x14ac:dyDescent="0.35">
      <c r="A92" t="s">
        <v>469</v>
      </c>
      <c r="B92" t="s">
        <v>844</v>
      </c>
      <c r="D92" t="s">
        <v>696</v>
      </c>
      <c r="E92" t="s">
        <v>697</v>
      </c>
      <c r="F92" t="s">
        <v>221</v>
      </c>
      <c r="J92" s="2" t="str">
        <f t="shared" si="14"/>
        <v/>
      </c>
      <c r="K92" t="s">
        <v>845</v>
      </c>
      <c r="N92" s="2" t="str">
        <f t="shared" si="15"/>
        <v/>
      </c>
      <c r="R92" s="2" t="str">
        <f t="shared" si="16"/>
        <v/>
      </c>
      <c r="V92" s="2" t="str">
        <f t="shared" si="17"/>
        <v/>
      </c>
      <c r="W92" t="s">
        <v>845</v>
      </c>
      <c r="Z92" s="2" t="str">
        <f t="shared" si="18"/>
        <v/>
      </c>
      <c r="AA92" t="s">
        <v>846</v>
      </c>
      <c r="AD92" s="2" t="str">
        <f t="shared" si="19"/>
        <v/>
      </c>
      <c r="AG92" s="2" t="str">
        <f t="shared" si="20"/>
        <v/>
      </c>
      <c r="AI92" t="s">
        <v>847</v>
      </c>
      <c r="AJ92" t="s">
        <v>703</v>
      </c>
    </row>
    <row r="93" spans="1:36" ht="14.25" customHeight="1" x14ac:dyDescent="0.35">
      <c r="A93" t="s">
        <v>848</v>
      </c>
      <c r="B93" t="s">
        <v>849</v>
      </c>
      <c r="D93" t="s">
        <v>850</v>
      </c>
      <c r="E93" t="s">
        <v>851</v>
      </c>
      <c r="F93" t="s">
        <v>106</v>
      </c>
      <c r="J93" s="2" t="str">
        <f t="shared" si="14"/>
        <v/>
      </c>
      <c r="K93" t="s">
        <v>852</v>
      </c>
      <c r="N93" s="2" t="str">
        <f t="shared" si="15"/>
        <v/>
      </c>
      <c r="O93" t="s">
        <v>853</v>
      </c>
      <c r="R93" s="2" t="str">
        <f t="shared" si="16"/>
        <v/>
      </c>
      <c r="S93" t="s">
        <v>854</v>
      </c>
      <c r="V93" s="2" t="str">
        <f t="shared" si="17"/>
        <v/>
      </c>
      <c r="W93" t="s">
        <v>855</v>
      </c>
      <c r="Z93" s="2" t="str">
        <f t="shared" si="18"/>
        <v/>
      </c>
      <c r="AD93" s="2" t="str">
        <f t="shared" si="19"/>
        <v/>
      </c>
      <c r="AE93" t="s">
        <v>856</v>
      </c>
      <c r="AG93" s="2" t="str">
        <f t="shared" si="20"/>
        <v/>
      </c>
      <c r="AI93" t="s">
        <v>857</v>
      </c>
      <c r="AJ93" t="s">
        <v>858</v>
      </c>
    </row>
    <row r="94" spans="1:36" ht="14.25" customHeight="1" x14ac:dyDescent="0.35">
      <c r="A94" t="s">
        <v>859</v>
      </c>
      <c r="B94" t="s">
        <v>860</v>
      </c>
      <c r="D94" t="s">
        <v>850</v>
      </c>
      <c r="E94" t="s">
        <v>851</v>
      </c>
      <c r="F94" t="s">
        <v>221</v>
      </c>
      <c r="J94" s="2" t="str">
        <f t="shared" si="14"/>
        <v/>
      </c>
      <c r="K94" t="s">
        <v>861</v>
      </c>
      <c r="N94" s="2" t="str">
        <f t="shared" si="15"/>
        <v/>
      </c>
      <c r="O94" t="s">
        <v>862</v>
      </c>
      <c r="R94" s="2" t="str">
        <f t="shared" si="16"/>
        <v/>
      </c>
      <c r="V94" s="2" t="str">
        <f t="shared" si="17"/>
        <v/>
      </c>
      <c r="W94" t="s">
        <v>339</v>
      </c>
      <c r="Z94" s="2" t="str">
        <f t="shared" si="18"/>
        <v/>
      </c>
      <c r="AD94" s="2" t="str">
        <f t="shared" si="19"/>
        <v/>
      </c>
      <c r="AE94" t="s">
        <v>863</v>
      </c>
      <c r="AG94" s="2" t="str">
        <f t="shared" si="20"/>
        <v/>
      </c>
      <c r="AI94" t="s">
        <v>864</v>
      </c>
      <c r="AJ94" t="s">
        <v>858</v>
      </c>
    </row>
    <row r="95" spans="1:36" ht="14.25" customHeight="1" x14ac:dyDescent="0.35">
      <c r="A95" t="s">
        <v>865</v>
      </c>
      <c r="B95" t="s">
        <v>866</v>
      </c>
      <c r="D95" t="s">
        <v>850</v>
      </c>
      <c r="E95" t="s">
        <v>851</v>
      </c>
      <c r="F95" t="s">
        <v>867</v>
      </c>
      <c r="J95" s="2" t="str">
        <f t="shared" si="14"/>
        <v/>
      </c>
      <c r="K95" t="s">
        <v>424</v>
      </c>
      <c r="N95" s="2" t="str">
        <f t="shared" si="15"/>
        <v/>
      </c>
      <c r="O95" t="s">
        <v>868</v>
      </c>
      <c r="R95" s="2" t="str">
        <f t="shared" si="16"/>
        <v/>
      </c>
      <c r="V95" s="2" t="str">
        <f t="shared" si="17"/>
        <v/>
      </c>
      <c r="Z95" s="2" t="str">
        <f t="shared" si="18"/>
        <v/>
      </c>
      <c r="AD95" s="2" t="str">
        <f t="shared" si="19"/>
        <v/>
      </c>
      <c r="AE95" t="s">
        <v>869</v>
      </c>
      <c r="AG95" s="2" t="str">
        <f t="shared" si="20"/>
        <v/>
      </c>
      <c r="AI95" t="s">
        <v>870</v>
      </c>
      <c r="AJ95" t="s">
        <v>858</v>
      </c>
    </row>
    <row r="96" spans="1:36" ht="14.25" customHeight="1" x14ac:dyDescent="0.35">
      <c r="A96" t="s">
        <v>871</v>
      </c>
      <c r="B96" t="s">
        <v>630</v>
      </c>
      <c r="D96" t="s">
        <v>850</v>
      </c>
      <c r="E96" t="s">
        <v>851</v>
      </c>
      <c r="F96" t="s">
        <v>872</v>
      </c>
      <c r="J96" s="2" t="str">
        <f t="shared" si="14"/>
        <v/>
      </c>
      <c r="K96" t="s">
        <v>873</v>
      </c>
      <c r="N96" s="2" t="str">
        <f t="shared" si="15"/>
        <v/>
      </c>
      <c r="O96" t="s">
        <v>874</v>
      </c>
      <c r="R96" s="2" t="str">
        <f t="shared" si="16"/>
        <v/>
      </c>
      <c r="V96" s="2" t="str">
        <f t="shared" si="17"/>
        <v/>
      </c>
      <c r="Z96" s="2" t="str">
        <f t="shared" si="18"/>
        <v/>
      </c>
      <c r="AD96" s="2" t="str">
        <f t="shared" si="19"/>
        <v/>
      </c>
      <c r="AE96" t="s">
        <v>875</v>
      </c>
      <c r="AG96" s="2" t="str">
        <f t="shared" si="20"/>
        <v/>
      </c>
      <c r="AI96" t="s">
        <v>876</v>
      </c>
      <c r="AJ96" t="s">
        <v>858</v>
      </c>
    </row>
    <row r="97" spans="1:36" ht="14.25" customHeight="1" x14ac:dyDescent="0.35">
      <c r="A97" t="s">
        <v>877</v>
      </c>
      <c r="B97" t="s">
        <v>878</v>
      </c>
      <c r="D97" t="s">
        <v>850</v>
      </c>
      <c r="E97" t="s">
        <v>851</v>
      </c>
      <c r="F97" t="s">
        <v>431</v>
      </c>
      <c r="J97" s="2" t="str">
        <f t="shared" si="14"/>
        <v/>
      </c>
      <c r="K97" t="s">
        <v>879</v>
      </c>
      <c r="N97" s="2" t="str">
        <f t="shared" si="15"/>
        <v/>
      </c>
      <c r="O97" t="s">
        <v>880</v>
      </c>
      <c r="R97" s="2" t="str">
        <f t="shared" si="16"/>
        <v/>
      </c>
      <c r="V97" s="2" t="str">
        <f t="shared" si="17"/>
        <v/>
      </c>
      <c r="Z97" s="2" t="str">
        <f t="shared" si="18"/>
        <v/>
      </c>
      <c r="AD97" s="2" t="str">
        <f t="shared" si="19"/>
        <v/>
      </c>
      <c r="AE97" t="s">
        <v>881</v>
      </c>
      <c r="AG97" s="2" t="str">
        <f t="shared" si="20"/>
        <v/>
      </c>
      <c r="AI97" t="s">
        <v>882</v>
      </c>
      <c r="AJ97" t="s">
        <v>858</v>
      </c>
    </row>
    <row r="98" spans="1:36" ht="14.25" customHeight="1" x14ac:dyDescent="0.35">
      <c r="A98" t="s">
        <v>113</v>
      </c>
      <c r="B98" t="s">
        <v>883</v>
      </c>
      <c r="D98" t="s">
        <v>884</v>
      </c>
      <c r="E98" t="s">
        <v>885</v>
      </c>
      <c r="F98" t="s">
        <v>886</v>
      </c>
      <c r="G98" t="s">
        <v>887</v>
      </c>
      <c r="J98" s="2" t="str">
        <f t="shared" ref="J98:J122" si="21">IF(AND(ISNUMBER(H98),H98&lt;&gt;0),H98*1.3978,"")</f>
        <v/>
      </c>
      <c r="K98" t="s">
        <v>888</v>
      </c>
      <c r="N98" s="2" t="str">
        <f t="shared" ref="N98:N122" si="22">IF(AND(ISNUMBER(L98),L98&lt;&gt;0),L98*1.3978,"")</f>
        <v/>
      </c>
      <c r="O98" t="s">
        <v>889</v>
      </c>
      <c r="R98" s="2" t="str">
        <f t="shared" ref="R98:R122" si="23">IF(AND(ISNUMBER(P98),P98&lt;&gt;0),P98*1.3978,"")</f>
        <v/>
      </c>
      <c r="V98" s="2" t="str">
        <f t="shared" ref="V98:V122" si="24">IF(AND(ISNUMBER(T98),T98&lt;&gt;0),T98*1.3978,"")</f>
        <v/>
      </c>
      <c r="W98" t="s">
        <v>890</v>
      </c>
      <c r="Z98" s="2" t="str">
        <f t="shared" ref="Z98:Z122" si="25">IF(AND(ISNUMBER(X98),X98&lt;&gt;0),X98*1.3978,"")</f>
        <v/>
      </c>
      <c r="AA98" t="s">
        <v>891</v>
      </c>
      <c r="AD98" s="2" t="str">
        <f t="shared" ref="AD98:AD122" si="26">IF(AND(ISNUMBER(AB98),AB98&lt;&gt;0),AB98*1.3978,"")</f>
        <v/>
      </c>
      <c r="AG98" s="2" t="str">
        <f t="shared" ref="AG98:AG129" si="27">IF(AND(ISNUMBER(AF98),AF98&lt;&gt;0),AF98*1.3978,"")</f>
        <v/>
      </c>
      <c r="AI98" t="s">
        <v>892</v>
      </c>
      <c r="AJ98" t="s">
        <v>893</v>
      </c>
    </row>
    <row r="99" spans="1:36" ht="14.25" customHeight="1" x14ac:dyDescent="0.35">
      <c r="A99" t="s">
        <v>894</v>
      </c>
      <c r="B99" t="s">
        <v>895</v>
      </c>
      <c r="D99" t="s">
        <v>896</v>
      </c>
      <c r="E99" t="s">
        <v>897</v>
      </c>
      <c r="F99" t="s">
        <v>421</v>
      </c>
      <c r="G99" t="s">
        <v>400</v>
      </c>
      <c r="I99" t="s">
        <v>898</v>
      </c>
      <c r="J99" s="2" t="str">
        <f t="shared" si="21"/>
        <v/>
      </c>
      <c r="K99">
        <v>1294461</v>
      </c>
      <c r="M99" t="s">
        <v>899</v>
      </c>
      <c r="N99" s="2" t="str">
        <f t="shared" si="22"/>
        <v/>
      </c>
      <c r="R99" s="2" t="str">
        <f t="shared" si="23"/>
        <v/>
      </c>
      <c r="S99">
        <v>0</v>
      </c>
      <c r="U99" t="s">
        <v>900</v>
      </c>
      <c r="V99" s="2" t="str">
        <f t="shared" si="24"/>
        <v/>
      </c>
      <c r="W99">
        <v>1494451.8</v>
      </c>
      <c r="Z99" s="2" t="str">
        <f t="shared" si="25"/>
        <v/>
      </c>
      <c r="AA99">
        <v>0</v>
      </c>
      <c r="AD99" s="2" t="str">
        <f t="shared" si="26"/>
        <v/>
      </c>
      <c r="AE99" t="s">
        <v>56</v>
      </c>
      <c r="AG99" s="2" t="str">
        <f t="shared" si="27"/>
        <v/>
      </c>
      <c r="AH99" t="s">
        <v>901</v>
      </c>
      <c r="AI99" t="s">
        <v>902</v>
      </c>
      <c r="AJ99" t="s">
        <v>903</v>
      </c>
    </row>
    <row r="100" spans="1:36" ht="14.25" customHeight="1" x14ac:dyDescent="0.35">
      <c r="A100" t="s">
        <v>205</v>
      </c>
      <c r="B100" t="s">
        <v>904</v>
      </c>
      <c r="D100" t="s">
        <v>905</v>
      </c>
      <c r="E100" t="s">
        <v>906</v>
      </c>
      <c r="F100" t="s">
        <v>886</v>
      </c>
      <c r="G100" t="s">
        <v>400</v>
      </c>
      <c r="J100" s="2" t="str">
        <f t="shared" si="21"/>
        <v/>
      </c>
      <c r="K100" t="s">
        <v>907</v>
      </c>
      <c r="N100" s="2" t="str">
        <f t="shared" si="22"/>
        <v/>
      </c>
      <c r="O100" t="s">
        <v>908</v>
      </c>
      <c r="R100" s="2" t="str">
        <f t="shared" si="23"/>
        <v/>
      </c>
      <c r="S100" t="s">
        <v>909</v>
      </c>
      <c r="V100" s="2" t="str">
        <f t="shared" si="24"/>
        <v/>
      </c>
      <c r="W100" t="s">
        <v>910</v>
      </c>
      <c r="Z100" s="2" t="str">
        <f t="shared" si="25"/>
        <v/>
      </c>
      <c r="AD100" s="2" t="str">
        <f t="shared" si="26"/>
        <v/>
      </c>
      <c r="AE100" t="s">
        <v>911</v>
      </c>
      <c r="AG100" s="2" t="str">
        <f t="shared" si="27"/>
        <v/>
      </c>
      <c r="AI100" t="s">
        <v>912</v>
      </c>
    </row>
    <row r="101" spans="1:36" ht="14.25" customHeight="1" x14ac:dyDescent="0.35">
      <c r="A101" t="s">
        <v>913</v>
      </c>
      <c r="B101" t="s">
        <v>914</v>
      </c>
      <c r="D101" t="s">
        <v>915</v>
      </c>
      <c r="E101" t="s">
        <v>916</v>
      </c>
      <c r="F101" t="s">
        <v>917</v>
      </c>
      <c r="G101" t="s">
        <v>918</v>
      </c>
      <c r="J101" s="2" t="str">
        <f t="shared" si="21"/>
        <v/>
      </c>
      <c r="K101" t="s">
        <v>919</v>
      </c>
      <c r="N101" s="2" t="str">
        <f t="shared" si="22"/>
        <v/>
      </c>
      <c r="R101" s="2" t="str">
        <f t="shared" si="23"/>
        <v/>
      </c>
      <c r="V101" s="2" t="str">
        <f t="shared" si="24"/>
        <v/>
      </c>
      <c r="W101" t="s">
        <v>920</v>
      </c>
      <c r="Z101" s="2" t="str">
        <f t="shared" si="25"/>
        <v/>
      </c>
      <c r="AD101" s="2" t="str">
        <f t="shared" si="26"/>
        <v/>
      </c>
      <c r="AG101" s="2" t="str">
        <f t="shared" si="27"/>
        <v/>
      </c>
      <c r="AI101" t="s">
        <v>921</v>
      </c>
      <c r="AJ101" t="s">
        <v>922</v>
      </c>
    </row>
    <row r="102" spans="1:36" ht="14.25" customHeight="1" x14ac:dyDescent="0.35">
      <c r="A102" t="s">
        <v>923</v>
      </c>
      <c r="B102" t="s">
        <v>924</v>
      </c>
      <c r="D102" t="s">
        <v>149</v>
      </c>
      <c r="E102" t="s">
        <v>925</v>
      </c>
      <c r="F102" t="s">
        <v>926</v>
      </c>
      <c r="G102" t="s">
        <v>927</v>
      </c>
      <c r="J102" s="2" t="str">
        <f t="shared" si="21"/>
        <v/>
      </c>
      <c r="K102" t="s">
        <v>928</v>
      </c>
      <c r="N102" s="2" t="str">
        <f t="shared" si="22"/>
        <v/>
      </c>
      <c r="O102" t="s">
        <v>929</v>
      </c>
      <c r="R102" s="2" t="str">
        <f t="shared" si="23"/>
        <v/>
      </c>
      <c r="V102" s="2" t="str">
        <f t="shared" si="24"/>
        <v/>
      </c>
      <c r="W102" t="s">
        <v>930</v>
      </c>
      <c r="Z102" s="2" t="str">
        <f t="shared" si="25"/>
        <v/>
      </c>
      <c r="AD102" s="2" t="str">
        <f t="shared" si="26"/>
        <v/>
      </c>
      <c r="AG102" s="2" t="str">
        <f t="shared" si="27"/>
        <v/>
      </c>
      <c r="AI102" t="s">
        <v>931</v>
      </c>
    </row>
    <row r="103" spans="1:36" ht="14.25" customHeight="1" x14ac:dyDescent="0.35">
      <c r="A103" t="s">
        <v>932</v>
      </c>
      <c r="B103" t="s">
        <v>933</v>
      </c>
      <c r="D103" t="s">
        <v>934</v>
      </c>
      <c r="E103" t="s">
        <v>935</v>
      </c>
      <c r="F103" t="s">
        <v>886</v>
      </c>
      <c r="G103" t="s">
        <v>936</v>
      </c>
      <c r="I103" t="s">
        <v>937</v>
      </c>
      <c r="J103" s="2" t="str">
        <f t="shared" si="21"/>
        <v/>
      </c>
      <c r="K103">
        <v>787635</v>
      </c>
      <c r="M103" t="s">
        <v>938</v>
      </c>
      <c r="N103" s="2" t="str">
        <f t="shared" si="22"/>
        <v/>
      </c>
      <c r="R103" s="2" t="str">
        <f t="shared" si="23"/>
        <v/>
      </c>
      <c r="S103">
        <v>0</v>
      </c>
      <c r="U103" t="s">
        <v>939</v>
      </c>
      <c r="V103" s="2" t="str">
        <f t="shared" si="24"/>
        <v/>
      </c>
      <c r="W103">
        <v>708871.5</v>
      </c>
      <c r="Z103" s="2" t="str">
        <f t="shared" si="25"/>
        <v/>
      </c>
      <c r="AA103">
        <v>0</v>
      </c>
      <c r="AD103" s="2" t="str">
        <f t="shared" si="26"/>
        <v/>
      </c>
      <c r="AE103" t="s">
        <v>56</v>
      </c>
      <c r="AG103" s="2" t="str">
        <f t="shared" si="27"/>
        <v/>
      </c>
      <c r="AH103" t="s">
        <v>940</v>
      </c>
      <c r="AI103" t="s">
        <v>941</v>
      </c>
      <c r="AJ103" t="s">
        <v>942</v>
      </c>
    </row>
    <row r="104" spans="1:36" ht="14.25" customHeight="1" x14ac:dyDescent="0.35">
      <c r="A104" t="s">
        <v>943</v>
      </c>
      <c r="B104" t="s">
        <v>944</v>
      </c>
      <c r="D104" t="s">
        <v>934</v>
      </c>
      <c r="E104" t="s">
        <v>935</v>
      </c>
      <c r="F104" t="s">
        <v>945</v>
      </c>
      <c r="G104" t="s">
        <v>936</v>
      </c>
      <c r="I104" t="s">
        <v>946</v>
      </c>
      <c r="J104" s="2" t="str">
        <f t="shared" si="21"/>
        <v/>
      </c>
      <c r="K104">
        <v>424638</v>
      </c>
      <c r="M104" t="s">
        <v>947</v>
      </c>
      <c r="N104" s="2" t="str">
        <f t="shared" si="22"/>
        <v/>
      </c>
      <c r="Q104" t="s">
        <v>948</v>
      </c>
      <c r="R104" s="2" t="str">
        <f t="shared" si="23"/>
        <v/>
      </c>
      <c r="S104">
        <v>221907.6</v>
      </c>
      <c r="V104" s="2" t="str">
        <f t="shared" si="24"/>
        <v/>
      </c>
      <c r="W104">
        <v>0</v>
      </c>
      <c r="Z104" s="2" t="str">
        <f t="shared" si="25"/>
        <v/>
      </c>
      <c r="AA104">
        <v>0</v>
      </c>
      <c r="AD104" s="2" t="str">
        <f t="shared" si="26"/>
        <v/>
      </c>
      <c r="AE104" t="s">
        <v>56</v>
      </c>
      <c r="AG104" s="2" t="str">
        <f t="shared" si="27"/>
        <v/>
      </c>
      <c r="AH104" t="s">
        <v>949</v>
      </c>
      <c r="AI104" t="s">
        <v>950</v>
      </c>
      <c r="AJ104" t="s">
        <v>942</v>
      </c>
    </row>
    <row r="105" spans="1:36" ht="14.25" customHeight="1" x14ac:dyDescent="0.35">
      <c r="A105" t="s">
        <v>36</v>
      </c>
      <c r="B105" t="s">
        <v>951</v>
      </c>
      <c r="D105" t="s">
        <v>952</v>
      </c>
      <c r="E105" t="s">
        <v>953</v>
      </c>
      <c r="F105" t="s">
        <v>106</v>
      </c>
      <c r="G105" t="s">
        <v>400</v>
      </c>
      <c r="J105" s="2" t="str">
        <f t="shared" si="21"/>
        <v/>
      </c>
      <c r="K105" t="s">
        <v>954</v>
      </c>
      <c r="N105" s="2" t="str">
        <f t="shared" si="22"/>
        <v/>
      </c>
      <c r="R105" s="2" t="str">
        <f t="shared" si="23"/>
        <v/>
      </c>
      <c r="V105" s="2" t="str">
        <f t="shared" si="24"/>
        <v/>
      </c>
      <c r="W105" t="s">
        <v>955</v>
      </c>
      <c r="Z105" s="2" t="str">
        <f t="shared" si="25"/>
        <v/>
      </c>
      <c r="AD105" s="2" t="str">
        <f t="shared" si="26"/>
        <v/>
      </c>
      <c r="AE105" t="s">
        <v>956</v>
      </c>
      <c r="AG105" s="2" t="str">
        <f t="shared" si="27"/>
        <v/>
      </c>
      <c r="AI105" t="s">
        <v>957</v>
      </c>
      <c r="AJ105" t="s">
        <v>958</v>
      </c>
    </row>
    <row r="106" spans="1:36" ht="14.25" customHeight="1" x14ac:dyDescent="0.35">
      <c r="A106" t="s">
        <v>959</v>
      </c>
      <c r="B106" t="s">
        <v>960</v>
      </c>
      <c r="D106" t="s">
        <v>961</v>
      </c>
      <c r="E106" t="s">
        <v>962</v>
      </c>
      <c r="F106" t="s">
        <v>106</v>
      </c>
      <c r="G106" t="s">
        <v>400</v>
      </c>
      <c r="J106" s="2" t="str">
        <f t="shared" si="21"/>
        <v/>
      </c>
      <c r="K106" t="s">
        <v>963</v>
      </c>
      <c r="N106" s="2" t="str">
        <f t="shared" si="22"/>
        <v/>
      </c>
      <c r="O106" t="s">
        <v>964</v>
      </c>
      <c r="R106" s="2" t="str">
        <f t="shared" si="23"/>
        <v/>
      </c>
      <c r="V106" s="2" t="str">
        <f t="shared" si="24"/>
        <v/>
      </c>
      <c r="W106" t="s">
        <v>965</v>
      </c>
      <c r="Z106" s="2" t="str">
        <f t="shared" si="25"/>
        <v/>
      </c>
      <c r="AA106" t="s">
        <v>966</v>
      </c>
      <c r="AD106" s="2" t="str">
        <f t="shared" si="26"/>
        <v/>
      </c>
      <c r="AE106" t="s">
        <v>967</v>
      </c>
      <c r="AG106" s="2" t="str">
        <f t="shared" si="27"/>
        <v/>
      </c>
      <c r="AI106" t="s">
        <v>968</v>
      </c>
    </row>
    <row r="107" spans="1:36" ht="14.25" customHeight="1" x14ac:dyDescent="0.35">
      <c r="A107" t="s">
        <v>969</v>
      </c>
      <c r="B107" t="s">
        <v>970</v>
      </c>
      <c r="E107" t="s">
        <v>971</v>
      </c>
      <c r="F107" t="s">
        <v>886</v>
      </c>
      <c r="G107" t="s">
        <v>972</v>
      </c>
      <c r="J107" s="2" t="str">
        <f t="shared" si="21"/>
        <v/>
      </c>
      <c r="K107" t="s">
        <v>973</v>
      </c>
      <c r="N107" s="2" t="str">
        <f t="shared" si="22"/>
        <v/>
      </c>
      <c r="R107" s="2" t="str">
        <f t="shared" si="23"/>
        <v/>
      </c>
      <c r="V107" s="2" t="str">
        <f t="shared" si="24"/>
        <v/>
      </c>
      <c r="W107" t="s">
        <v>974</v>
      </c>
      <c r="Z107" s="2" t="str">
        <f t="shared" si="25"/>
        <v/>
      </c>
      <c r="AD107" s="2" t="str">
        <f t="shared" si="26"/>
        <v/>
      </c>
      <c r="AG107" s="2" t="str">
        <f t="shared" si="27"/>
        <v/>
      </c>
      <c r="AI107" t="s">
        <v>975</v>
      </c>
      <c r="AJ107" t="s">
        <v>976</v>
      </c>
    </row>
    <row r="108" spans="1:36" ht="14.25" customHeight="1" x14ac:dyDescent="0.35">
      <c r="A108" t="s">
        <v>977</v>
      </c>
      <c r="B108" t="s">
        <v>978</v>
      </c>
      <c r="D108" t="s">
        <v>979</v>
      </c>
      <c r="E108" t="s">
        <v>980</v>
      </c>
      <c r="F108" t="s">
        <v>886</v>
      </c>
      <c r="G108" t="s">
        <v>400</v>
      </c>
      <c r="J108" s="2" t="str">
        <f t="shared" si="21"/>
        <v/>
      </c>
      <c r="K108" t="s">
        <v>981</v>
      </c>
      <c r="N108" s="2" t="str">
        <f t="shared" si="22"/>
        <v/>
      </c>
      <c r="O108" t="s">
        <v>982</v>
      </c>
      <c r="R108" s="2" t="str">
        <f t="shared" si="23"/>
        <v/>
      </c>
      <c r="S108" t="s">
        <v>983</v>
      </c>
      <c r="V108" s="2" t="str">
        <f t="shared" si="24"/>
        <v/>
      </c>
      <c r="W108" t="s">
        <v>984</v>
      </c>
      <c r="Z108" s="2" t="str">
        <f t="shared" si="25"/>
        <v/>
      </c>
      <c r="AA108" t="s">
        <v>985</v>
      </c>
      <c r="AD108" s="2" t="str">
        <f t="shared" si="26"/>
        <v/>
      </c>
      <c r="AG108" s="2" t="str">
        <f t="shared" si="27"/>
        <v/>
      </c>
      <c r="AI108" t="s">
        <v>986</v>
      </c>
      <c r="AJ108" t="s">
        <v>987</v>
      </c>
    </row>
    <row r="109" spans="1:36" ht="14.25" customHeight="1" x14ac:dyDescent="0.35">
      <c r="A109" t="s">
        <v>988</v>
      </c>
      <c r="B109" t="s">
        <v>989</v>
      </c>
      <c r="D109" t="s">
        <v>979</v>
      </c>
      <c r="E109" t="s">
        <v>980</v>
      </c>
      <c r="F109" t="s">
        <v>990</v>
      </c>
      <c r="G109" t="s">
        <v>400</v>
      </c>
      <c r="J109" s="2" t="str">
        <f t="shared" si="21"/>
        <v/>
      </c>
      <c r="K109" t="s">
        <v>991</v>
      </c>
      <c r="N109" s="2" t="str">
        <f t="shared" si="22"/>
        <v/>
      </c>
      <c r="O109" t="s">
        <v>992</v>
      </c>
      <c r="R109" s="2" t="str">
        <f t="shared" si="23"/>
        <v/>
      </c>
      <c r="S109" t="s">
        <v>993</v>
      </c>
      <c r="V109" s="2" t="str">
        <f t="shared" si="24"/>
        <v/>
      </c>
      <c r="W109" t="s">
        <v>994</v>
      </c>
      <c r="Z109" s="2" t="str">
        <f t="shared" si="25"/>
        <v/>
      </c>
      <c r="AA109" t="s">
        <v>995</v>
      </c>
      <c r="AD109" s="2" t="str">
        <f t="shared" si="26"/>
        <v/>
      </c>
      <c r="AG109" s="2" t="str">
        <f t="shared" si="27"/>
        <v/>
      </c>
      <c r="AI109" t="s">
        <v>996</v>
      </c>
      <c r="AJ109" t="s">
        <v>987</v>
      </c>
    </row>
    <row r="110" spans="1:36" ht="14.25" customHeight="1" x14ac:dyDescent="0.35">
      <c r="A110" t="s">
        <v>997</v>
      </c>
      <c r="B110" t="s">
        <v>125</v>
      </c>
      <c r="D110" t="s">
        <v>979</v>
      </c>
      <c r="E110" t="s">
        <v>980</v>
      </c>
      <c r="F110" t="s">
        <v>998</v>
      </c>
      <c r="G110" t="s">
        <v>400</v>
      </c>
      <c r="J110" s="2" t="str">
        <f t="shared" si="21"/>
        <v/>
      </c>
      <c r="K110" t="s">
        <v>999</v>
      </c>
      <c r="N110" s="2" t="str">
        <f t="shared" si="22"/>
        <v/>
      </c>
      <c r="O110" t="s">
        <v>1000</v>
      </c>
      <c r="R110" s="2" t="str">
        <f t="shared" si="23"/>
        <v/>
      </c>
      <c r="S110" t="s">
        <v>1001</v>
      </c>
      <c r="V110" s="2" t="str">
        <f t="shared" si="24"/>
        <v/>
      </c>
      <c r="W110" t="s">
        <v>1002</v>
      </c>
      <c r="Z110" s="2" t="str">
        <f t="shared" si="25"/>
        <v/>
      </c>
      <c r="AD110" s="2" t="str">
        <f t="shared" si="26"/>
        <v/>
      </c>
      <c r="AE110" t="s">
        <v>1003</v>
      </c>
      <c r="AG110" s="2" t="str">
        <f t="shared" si="27"/>
        <v/>
      </c>
      <c r="AI110" t="s">
        <v>1004</v>
      </c>
      <c r="AJ110" t="s">
        <v>987</v>
      </c>
    </row>
    <row r="111" spans="1:36" ht="14.25" customHeight="1" x14ac:dyDescent="0.35">
      <c r="A111" t="s">
        <v>1005</v>
      </c>
      <c r="B111" t="s">
        <v>1006</v>
      </c>
      <c r="D111" t="s">
        <v>979</v>
      </c>
      <c r="E111" t="s">
        <v>980</v>
      </c>
      <c r="F111" t="s">
        <v>1007</v>
      </c>
      <c r="G111" t="s">
        <v>400</v>
      </c>
      <c r="J111" s="2" t="str">
        <f t="shared" si="21"/>
        <v/>
      </c>
      <c r="K111" t="s">
        <v>1008</v>
      </c>
      <c r="N111" s="2" t="str">
        <f t="shared" si="22"/>
        <v/>
      </c>
      <c r="O111" t="s">
        <v>1009</v>
      </c>
      <c r="R111" s="2" t="str">
        <f t="shared" si="23"/>
        <v/>
      </c>
      <c r="S111" t="s">
        <v>1010</v>
      </c>
      <c r="V111" s="2" t="str">
        <f t="shared" si="24"/>
        <v/>
      </c>
      <c r="W111" t="s">
        <v>1011</v>
      </c>
      <c r="Z111" s="2" t="str">
        <f t="shared" si="25"/>
        <v/>
      </c>
      <c r="AA111" t="s">
        <v>1012</v>
      </c>
      <c r="AD111" s="2" t="str">
        <f t="shared" si="26"/>
        <v/>
      </c>
      <c r="AG111" s="2" t="str">
        <f t="shared" si="27"/>
        <v/>
      </c>
      <c r="AI111" t="s">
        <v>1013</v>
      </c>
      <c r="AJ111" t="s">
        <v>987</v>
      </c>
    </row>
    <row r="112" spans="1:36" ht="14.25" customHeight="1" x14ac:dyDescent="0.35">
      <c r="A112" t="s">
        <v>1014</v>
      </c>
      <c r="B112" t="s">
        <v>1015</v>
      </c>
      <c r="D112" t="s">
        <v>979</v>
      </c>
      <c r="E112" t="s">
        <v>980</v>
      </c>
      <c r="F112" t="s">
        <v>1016</v>
      </c>
      <c r="G112" t="s">
        <v>400</v>
      </c>
      <c r="J112" s="2" t="str">
        <f t="shared" si="21"/>
        <v/>
      </c>
      <c r="K112" t="s">
        <v>1017</v>
      </c>
      <c r="N112" s="2" t="str">
        <f t="shared" si="22"/>
        <v/>
      </c>
      <c r="O112" t="s">
        <v>1018</v>
      </c>
      <c r="R112" s="2" t="str">
        <f t="shared" si="23"/>
        <v/>
      </c>
      <c r="S112" t="s">
        <v>1019</v>
      </c>
      <c r="V112" s="2" t="str">
        <f t="shared" si="24"/>
        <v/>
      </c>
      <c r="W112" t="s">
        <v>1020</v>
      </c>
      <c r="Z112" s="2" t="str">
        <f t="shared" si="25"/>
        <v/>
      </c>
      <c r="AA112" t="s">
        <v>1021</v>
      </c>
      <c r="AD112" s="2" t="str">
        <f t="shared" si="26"/>
        <v/>
      </c>
      <c r="AG112" s="2" t="str">
        <f t="shared" si="27"/>
        <v/>
      </c>
      <c r="AI112" t="s">
        <v>1022</v>
      </c>
      <c r="AJ112" t="s">
        <v>987</v>
      </c>
    </row>
    <row r="113" spans="1:36" ht="14.25" customHeight="1" x14ac:dyDescent="0.35">
      <c r="A113" t="s">
        <v>1023</v>
      </c>
      <c r="B113" t="s">
        <v>1024</v>
      </c>
      <c r="D113" t="s">
        <v>979</v>
      </c>
      <c r="E113" t="s">
        <v>980</v>
      </c>
      <c r="F113" t="s">
        <v>1025</v>
      </c>
      <c r="G113" t="s">
        <v>400</v>
      </c>
      <c r="J113" s="2" t="str">
        <f t="shared" si="21"/>
        <v/>
      </c>
      <c r="K113" t="s">
        <v>1026</v>
      </c>
      <c r="N113" s="2" t="str">
        <f t="shared" si="22"/>
        <v/>
      </c>
      <c r="R113" s="2" t="str">
        <f t="shared" si="23"/>
        <v/>
      </c>
      <c r="V113" s="2" t="str">
        <f t="shared" si="24"/>
        <v/>
      </c>
      <c r="Z113" s="2" t="str">
        <f t="shared" si="25"/>
        <v/>
      </c>
      <c r="AD113" s="2" t="str">
        <f t="shared" si="26"/>
        <v/>
      </c>
      <c r="AE113" t="s">
        <v>1027</v>
      </c>
      <c r="AG113" s="2" t="str">
        <f t="shared" si="27"/>
        <v/>
      </c>
      <c r="AI113" t="s">
        <v>1028</v>
      </c>
      <c r="AJ113" t="s">
        <v>987</v>
      </c>
    </row>
    <row r="114" spans="1:36" ht="14.25" customHeight="1" x14ac:dyDescent="0.35">
      <c r="A114" t="s">
        <v>969</v>
      </c>
      <c r="B114" t="s">
        <v>1029</v>
      </c>
      <c r="D114" t="s">
        <v>1030</v>
      </c>
      <c r="E114" t="s">
        <v>1031</v>
      </c>
      <c r="F114" t="s">
        <v>886</v>
      </c>
      <c r="G114" t="s">
        <v>1032</v>
      </c>
      <c r="I114" t="s">
        <v>1033</v>
      </c>
      <c r="J114" s="2" t="str">
        <f t="shared" si="21"/>
        <v/>
      </c>
      <c r="K114">
        <v>1414632.1839999999</v>
      </c>
      <c r="M114" t="s">
        <v>938</v>
      </c>
      <c r="N114" s="2" t="str">
        <f t="shared" si="22"/>
        <v/>
      </c>
      <c r="R114" s="2" t="str">
        <f t="shared" si="23"/>
        <v/>
      </c>
      <c r="S114">
        <v>0</v>
      </c>
      <c r="V114" s="2" t="str">
        <f t="shared" si="24"/>
        <v/>
      </c>
      <c r="W114">
        <v>0</v>
      </c>
      <c r="Z114" s="2" t="str">
        <f t="shared" si="25"/>
        <v/>
      </c>
      <c r="AA114">
        <v>0</v>
      </c>
      <c r="AC114" t="s">
        <v>1034</v>
      </c>
      <c r="AD114" s="2" t="str">
        <f t="shared" si="26"/>
        <v/>
      </c>
      <c r="AE114" t="s">
        <v>1035</v>
      </c>
      <c r="AG114" s="2" t="str">
        <f t="shared" si="27"/>
        <v/>
      </c>
      <c r="AH114" t="s">
        <v>1036</v>
      </c>
      <c r="AI114" t="s">
        <v>1037</v>
      </c>
      <c r="AJ114" t="s">
        <v>1038</v>
      </c>
    </row>
    <row r="115" spans="1:36" ht="14.25" customHeight="1" x14ac:dyDescent="0.35">
      <c r="A115" t="s">
        <v>1039</v>
      </c>
      <c r="B115" t="s">
        <v>1040</v>
      </c>
      <c r="D115" t="s">
        <v>1041</v>
      </c>
      <c r="E115" t="s">
        <v>1042</v>
      </c>
      <c r="F115" t="s">
        <v>886</v>
      </c>
      <c r="G115" t="s">
        <v>400</v>
      </c>
      <c r="I115" t="s">
        <v>1043</v>
      </c>
      <c r="J115" s="2" t="str">
        <f t="shared" si="21"/>
        <v/>
      </c>
      <c r="K115">
        <v>1013652</v>
      </c>
      <c r="M115" t="s">
        <v>1044</v>
      </c>
      <c r="N115" s="2" t="str">
        <f t="shared" si="22"/>
        <v/>
      </c>
      <c r="R115" s="2" t="str">
        <f t="shared" si="23"/>
        <v/>
      </c>
      <c r="S115">
        <v>0</v>
      </c>
      <c r="U115" t="s">
        <v>1045</v>
      </c>
      <c r="V115" s="2" t="str">
        <f t="shared" si="24"/>
        <v/>
      </c>
      <c r="W115">
        <v>1236655.44</v>
      </c>
      <c r="Z115" s="2" t="str">
        <f t="shared" si="25"/>
        <v/>
      </c>
      <c r="AA115">
        <v>0</v>
      </c>
      <c r="AC115" t="s">
        <v>1046</v>
      </c>
      <c r="AD115" s="2" t="str">
        <f t="shared" si="26"/>
        <v/>
      </c>
      <c r="AE115" t="s">
        <v>1047</v>
      </c>
      <c r="AG115" s="2" t="str">
        <f t="shared" si="27"/>
        <v/>
      </c>
      <c r="AH115" t="s">
        <v>1048</v>
      </c>
      <c r="AI115" t="s">
        <v>1049</v>
      </c>
      <c r="AJ115" t="s">
        <v>1050</v>
      </c>
    </row>
    <row r="116" spans="1:36" ht="14.25" customHeight="1" x14ac:dyDescent="0.35">
      <c r="A116" t="s">
        <v>1051</v>
      </c>
      <c r="B116" t="s">
        <v>1040</v>
      </c>
      <c r="D116" t="s">
        <v>1041</v>
      </c>
      <c r="E116" t="s">
        <v>1042</v>
      </c>
      <c r="F116" t="s">
        <v>221</v>
      </c>
      <c r="G116" t="s">
        <v>400</v>
      </c>
      <c r="I116" t="s">
        <v>1052</v>
      </c>
      <c r="J116" s="2" t="str">
        <f t="shared" si="21"/>
        <v/>
      </c>
      <c r="K116">
        <v>698598</v>
      </c>
      <c r="M116" t="s">
        <v>1053</v>
      </c>
      <c r="N116" s="2" t="str">
        <f t="shared" si="22"/>
        <v/>
      </c>
      <c r="R116" s="2" t="str">
        <f t="shared" si="23"/>
        <v/>
      </c>
      <c r="S116">
        <v>0</v>
      </c>
      <c r="U116" t="s">
        <v>1054</v>
      </c>
      <c r="V116" s="2" t="str">
        <f t="shared" si="24"/>
        <v/>
      </c>
      <c r="W116">
        <v>692465.40540000005</v>
      </c>
      <c r="Z116" s="2" t="str">
        <f t="shared" si="25"/>
        <v/>
      </c>
      <c r="AA116">
        <v>0</v>
      </c>
      <c r="AC116" t="s">
        <v>1055</v>
      </c>
      <c r="AD116" s="2" t="str">
        <f t="shared" si="26"/>
        <v/>
      </c>
      <c r="AE116" t="s">
        <v>1056</v>
      </c>
      <c r="AG116" s="2" t="str">
        <f t="shared" si="27"/>
        <v/>
      </c>
      <c r="AH116" t="s">
        <v>1057</v>
      </c>
      <c r="AI116" t="s">
        <v>1058</v>
      </c>
      <c r="AJ116" t="s">
        <v>1050</v>
      </c>
    </row>
    <row r="117" spans="1:36" ht="14.25" customHeight="1" x14ac:dyDescent="0.35">
      <c r="A117" t="s">
        <v>1059</v>
      </c>
      <c r="B117" t="s">
        <v>1060</v>
      </c>
      <c r="D117" t="s">
        <v>1061</v>
      </c>
      <c r="E117" t="s">
        <v>1062</v>
      </c>
      <c r="F117" t="s">
        <v>106</v>
      </c>
      <c r="G117" t="s">
        <v>400</v>
      </c>
      <c r="I117" t="s">
        <v>1063</v>
      </c>
      <c r="J117" s="2" t="str">
        <f t="shared" si="21"/>
        <v/>
      </c>
      <c r="K117">
        <v>1027350</v>
      </c>
      <c r="M117" t="s">
        <v>1064</v>
      </c>
      <c r="N117" s="2" t="str">
        <f t="shared" si="22"/>
        <v/>
      </c>
      <c r="Q117" t="s">
        <v>1064</v>
      </c>
      <c r="R117" s="2" t="str">
        <f t="shared" si="23"/>
        <v/>
      </c>
      <c r="S117">
        <v>770512.5</v>
      </c>
      <c r="U117" t="s">
        <v>1065</v>
      </c>
      <c r="V117" s="2" t="str">
        <f t="shared" si="24"/>
        <v/>
      </c>
      <c r="W117">
        <v>1541025</v>
      </c>
      <c r="Z117" s="2" t="str">
        <f t="shared" si="25"/>
        <v/>
      </c>
      <c r="AA117">
        <v>0</v>
      </c>
      <c r="AD117" s="2" t="str">
        <f t="shared" si="26"/>
        <v/>
      </c>
      <c r="AE117" t="s">
        <v>56</v>
      </c>
      <c r="AG117" s="2" t="str">
        <f t="shared" si="27"/>
        <v/>
      </c>
      <c r="AH117" t="s">
        <v>1066</v>
      </c>
      <c r="AI117" t="s">
        <v>1067</v>
      </c>
      <c r="AJ117" t="s">
        <v>1068</v>
      </c>
    </row>
    <row r="118" spans="1:36" ht="14.25" customHeight="1" x14ac:dyDescent="0.35">
      <c r="A118" t="s">
        <v>1069</v>
      </c>
      <c r="B118" t="s">
        <v>1070</v>
      </c>
      <c r="D118" t="s">
        <v>1061</v>
      </c>
      <c r="E118" t="s">
        <v>1062</v>
      </c>
      <c r="F118" t="s">
        <v>1071</v>
      </c>
      <c r="G118" t="s">
        <v>400</v>
      </c>
      <c r="I118" t="s">
        <v>339</v>
      </c>
      <c r="J118" s="2" t="str">
        <f t="shared" si="21"/>
        <v/>
      </c>
      <c r="K118">
        <v>684900</v>
      </c>
      <c r="M118" t="s">
        <v>1072</v>
      </c>
      <c r="N118" s="2" t="str">
        <f t="shared" si="22"/>
        <v/>
      </c>
      <c r="Q118" t="s">
        <v>1072</v>
      </c>
      <c r="R118" s="2" t="str">
        <f t="shared" si="23"/>
        <v/>
      </c>
      <c r="S118">
        <v>513675</v>
      </c>
      <c r="U118" t="s">
        <v>1063</v>
      </c>
      <c r="V118" s="2" t="str">
        <f t="shared" si="24"/>
        <v/>
      </c>
      <c r="W118">
        <v>1027350</v>
      </c>
      <c r="Z118" s="2" t="str">
        <f t="shared" si="25"/>
        <v/>
      </c>
      <c r="AA118">
        <v>0</v>
      </c>
      <c r="AD118" s="2" t="str">
        <f t="shared" si="26"/>
        <v/>
      </c>
      <c r="AE118" t="s">
        <v>56</v>
      </c>
      <c r="AG118" s="2" t="str">
        <f t="shared" si="27"/>
        <v/>
      </c>
      <c r="AH118" t="s">
        <v>1073</v>
      </c>
      <c r="AI118" t="s">
        <v>1074</v>
      </c>
      <c r="AJ118" t="s">
        <v>1068</v>
      </c>
    </row>
    <row r="119" spans="1:36" ht="14.25" customHeight="1" x14ac:dyDescent="0.35">
      <c r="A119" t="s">
        <v>520</v>
      </c>
      <c r="B119" t="s">
        <v>1075</v>
      </c>
      <c r="D119" t="s">
        <v>1061</v>
      </c>
      <c r="E119" t="s">
        <v>1062</v>
      </c>
      <c r="F119" t="s">
        <v>431</v>
      </c>
      <c r="G119" t="s">
        <v>400</v>
      </c>
      <c r="I119" t="s">
        <v>1076</v>
      </c>
      <c r="J119" s="2" t="str">
        <f t="shared" si="21"/>
        <v/>
      </c>
      <c r="K119">
        <v>616410</v>
      </c>
      <c r="M119" t="s">
        <v>1077</v>
      </c>
      <c r="N119" s="2" t="str">
        <f t="shared" si="22"/>
        <v/>
      </c>
      <c r="Q119" t="s">
        <v>1077</v>
      </c>
      <c r="R119" s="2" t="str">
        <f t="shared" si="23"/>
        <v/>
      </c>
      <c r="S119">
        <v>462307.5</v>
      </c>
      <c r="U119" t="s">
        <v>1077</v>
      </c>
      <c r="V119" s="2" t="str">
        <f t="shared" si="24"/>
        <v/>
      </c>
      <c r="W119">
        <v>462307.5</v>
      </c>
      <c r="Z119" s="2" t="str">
        <f t="shared" si="25"/>
        <v/>
      </c>
      <c r="AA119">
        <v>0</v>
      </c>
      <c r="AD119" s="2" t="str">
        <f t="shared" si="26"/>
        <v/>
      </c>
      <c r="AE119" t="s">
        <v>56</v>
      </c>
      <c r="AG119" s="2" t="str">
        <f t="shared" si="27"/>
        <v/>
      </c>
      <c r="AH119" t="s">
        <v>1078</v>
      </c>
      <c r="AI119" t="s">
        <v>1079</v>
      </c>
      <c r="AJ119" t="s">
        <v>1068</v>
      </c>
    </row>
    <row r="120" spans="1:36" ht="14.25" customHeight="1" x14ac:dyDescent="0.35">
      <c r="A120" t="s">
        <v>417</v>
      </c>
      <c r="B120" t="s">
        <v>1080</v>
      </c>
      <c r="D120" t="s">
        <v>1081</v>
      </c>
      <c r="E120" t="s">
        <v>1082</v>
      </c>
      <c r="F120" t="s">
        <v>106</v>
      </c>
      <c r="G120" t="s">
        <v>400</v>
      </c>
      <c r="I120" t="s">
        <v>1083</v>
      </c>
      <c r="J120" s="2" t="str">
        <f t="shared" si="21"/>
        <v/>
      </c>
      <c r="K120">
        <v>1091662.1100000001</v>
      </c>
      <c r="M120" t="s">
        <v>1084</v>
      </c>
      <c r="N120" s="2" t="str">
        <f t="shared" si="22"/>
        <v/>
      </c>
      <c r="R120" s="2" t="str">
        <f t="shared" si="23"/>
        <v/>
      </c>
      <c r="S120">
        <v>0</v>
      </c>
      <c r="U120" t="s">
        <v>1085</v>
      </c>
      <c r="V120" s="2" t="str">
        <f t="shared" si="24"/>
        <v/>
      </c>
      <c r="W120">
        <v>997921.21680000005</v>
      </c>
      <c r="Z120" s="2" t="str">
        <f t="shared" si="25"/>
        <v/>
      </c>
      <c r="AA120">
        <v>0</v>
      </c>
      <c r="AC120" t="s">
        <v>1086</v>
      </c>
      <c r="AD120" s="2" t="str">
        <f t="shared" si="26"/>
        <v/>
      </c>
      <c r="AE120" t="s">
        <v>1087</v>
      </c>
      <c r="AG120" s="2" t="str">
        <f t="shared" si="27"/>
        <v/>
      </c>
      <c r="AH120" t="s">
        <v>1088</v>
      </c>
      <c r="AI120" t="s">
        <v>1089</v>
      </c>
      <c r="AJ120" t="s">
        <v>1090</v>
      </c>
    </row>
    <row r="121" spans="1:36" ht="14.25" customHeight="1" x14ac:dyDescent="0.35">
      <c r="A121" t="s">
        <v>408</v>
      </c>
      <c r="B121" t="s">
        <v>1091</v>
      </c>
      <c r="D121" t="s">
        <v>1081</v>
      </c>
      <c r="E121" t="s">
        <v>1082</v>
      </c>
      <c r="F121" t="s">
        <v>1092</v>
      </c>
      <c r="G121" t="s">
        <v>400</v>
      </c>
      <c r="I121" t="s">
        <v>1093</v>
      </c>
      <c r="J121" s="2" t="str">
        <f t="shared" si="21"/>
        <v/>
      </c>
      <c r="K121">
        <v>576052.95239999995</v>
      </c>
      <c r="M121" t="s">
        <v>1094</v>
      </c>
      <c r="N121" s="2" t="str">
        <f t="shared" si="22"/>
        <v/>
      </c>
      <c r="R121" s="2" t="str">
        <f t="shared" si="23"/>
        <v/>
      </c>
      <c r="S121">
        <v>0</v>
      </c>
      <c r="U121" t="s">
        <v>1095</v>
      </c>
      <c r="V121" s="2" t="str">
        <f t="shared" si="24"/>
        <v/>
      </c>
      <c r="W121">
        <v>526848.36659999995</v>
      </c>
      <c r="Z121" s="2" t="str">
        <f t="shared" si="25"/>
        <v/>
      </c>
      <c r="AA121">
        <v>0</v>
      </c>
      <c r="AD121" s="2" t="str">
        <f t="shared" si="26"/>
        <v/>
      </c>
      <c r="AE121" t="s">
        <v>56</v>
      </c>
      <c r="AG121" s="2" t="str">
        <f t="shared" si="27"/>
        <v/>
      </c>
      <c r="AH121" t="s">
        <v>1096</v>
      </c>
      <c r="AI121" t="s">
        <v>1097</v>
      </c>
      <c r="AJ121" t="s">
        <v>1090</v>
      </c>
    </row>
    <row r="122" spans="1:36" ht="14.25" customHeight="1" x14ac:dyDescent="0.35">
      <c r="A122" t="s">
        <v>1098</v>
      </c>
      <c r="B122" t="s">
        <v>1099</v>
      </c>
      <c r="D122" t="s">
        <v>1100</v>
      </c>
      <c r="E122" t="s">
        <v>1101</v>
      </c>
      <c r="F122" t="s">
        <v>886</v>
      </c>
      <c r="G122" t="s">
        <v>400</v>
      </c>
      <c r="J122" s="2" t="str">
        <f t="shared" si="21"/>
        <v/>
      </c>
      <c r="K122" t="s">
        <v>1102</v>
      </c>
      <c r="N122" s="2" t="str">
        <f t="shared" si="22"/>
        <v/>
      </c>
      <c r="O122" t="s">
        <v>1103</v>
      </c>
      <c r="R122" s="2" t="str">
        <f t="shared" si="23"/>
        <v/>
      </c>
      <c r="S122" t="s">
        <v>1104</v>
      </c>
      <c r="V122" s="2" t="str">
        <f t="shared" si="24"/>
        <v/>
      </c>
      <c r="W122" t="s">
        <v>1105</v>
      </c>
      <c r="Z122" s="2" t="str">
        <f t="shared" si="25"/>
        <v/>
      </c>
      <c r="AD122" s="2" t="str">
        <f t="shared" si="26"/>
        <v/>
      </c>
      <c r="AE122" t="s">
        <v>1106</v>
      </c>
      <c r="AG122" s="2" t="str">
        <f t="shared" si="27"/>
        <v/>
      </c>
      <c r="AI122" t="s">
        <v>1107</v>
      </c>
      <c r="AJ122" t="s">
        <v>1108</v>
      </c>
    </row>
  </sheetData>
  <conditionalFormatting sqref="A2:AJ122">
    <cfRule type="expression" dxfId="1" priority="2">
      <formula>AND($AG2&lt;&gt;"",$AG2&lt;&gt;0)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tchu2001@student.ubc.ca</cp:lastModifiedBy>
  <cp:revision>0</cp:revision>
  <dcterms:created xsi:type="dcterms:W3CDTF">2025-06-12T16:58:46Z</dcterms:created>
  <dcterms:modified xsi:type="dcterms:W3CDTF">2026-06-04T17:43:41Z</dcterms:modified>
  <dc:language>en-US</dc:language>
</cp:coreProperties>
</file>