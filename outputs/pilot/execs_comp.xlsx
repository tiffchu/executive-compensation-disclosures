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fe6e7ec76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75792f3564e4c77"/>
    <x:sheet xmlns:r="http://schemas.openxmlformats.org/officeDocument/2006/relationships" name="Source data" sheetId="2" r:id="Rc295903ac72b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0.00"/>
    <x:numFmt numFmtId="201" formatCode="#,##0;(#,##0);0"/>
    <x:numFmt numFmtId="202" formatCode="0.0000"/>
    <x:numFmt numFmtId="203" formatCode="yyyy-mm-dd"/>
    <x:numFmt numFmtId="204" formatCode="0"/>
  </x:numFmts>
  <x:fonts count="8">
    <x:font>
      <x:sz val="11"/>
      <x:name val="Carlito"/>
    </x:font>
    <x:font>
      <x:sz val="10"/>
      <x:color rgb="FF182D47"/>
      <x:name val="Arial"/>
    </x:font>
    <x:font>
      <x:b/>
      <x:sz val="14"/>
      <x:color rgb="FF182D47"/>
      <x:name val="Arial"/>
    </x:font>
    <x:font>
      <x:i/>
      <x:sz val="10"/>
      <x:color rgb="FF52657A"/>
      <x:name val="Arial"/>
    </x:font>
    <x:font>
      <x:b/>
      <x:sz val="10"/>
      <x:color rgb="FFFFFFFF"/>
      <x:name val="Arial"/>
    </x:font>
    <x:font>
      <x:sz val="10"/>
      <x:color rgb="FF1749A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D47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a0d34951f49cf" /><Relationship Type="http://schemas.openxmlformats.org/officeDocument/2006/relationships/theme" Target="/xl/theme/theme1.xml" Id="R0c19bf004a28451f" /><Relationship Type="http://schemas.openxmlformats.org/officeDocument/2006/relationships/sharedStrings" Target="/xl/sharedStrings.xml" Id="R887a6e050d2142ca" /><Relationship Type="http://schemas.openxmlformats.org/officeDocument/2006/relationships/worksheet" Target="/xl/worksheets/sheet1.xml" Id="R275792f3564e4c77" /><Relationship Type="http://schemas.openxmlformats.org/officeDocument/2006/relationships/worksheet" Target="/xl/worksheets/sheet2.xml" Id="Rc295903ac72b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30" hidden="0" customWidth="1"/>
    <x:col min="6" max="6" width="60" hidden="0" customWidth="1"/>
    <x:col min="7" max="7" width="21" hidden="0" customWidth="1"/>
    <x:col min="8" max="8" width="22" hidden="0" customWidth="1"/>
    <x:col min="9" max="9" width="21" hidden="0" customWidth="1"/>
    <x:col min="10" max="10" width="29" hidden="0" customWidth="1"/>
    <x:col min="11" max="11" width="21" hidden="0" customWidth="1"/>
    <x:col min="12" max="12" width="22" hidden="0" customWidth="1"/>
    <x:col min="13" max="13" width="21" hidden="0" customWidth="1"/>
    <x:col min="14" max="14" width="29" hidden="0" customWidth="1"/>
    <x:col min="15" max="15" width="21" hidden="0" customWidth="1"/>
    <x:col min="16" max="16" width="22" hidden="0" customWidth="1"/>
    <x:col min="17" max="17" width="21" hidden="0" customWidth="1"/>
    <x:col min="18" max="18" width="29" hidden="0" customWidth="1"/>
    <x:col min="19" max="19" width="21" hidden="0" customWidth="1"/>
    <x:col min="20" max="20" width="22" hidden="0" customWidth="1"/>
    <x:col min="21" max="21" width="21" hidden="0" customWidth="1"/>
    <x:col min="22" max="22" width="29" hidden="0" customWidth="1"/>
    <x:col min="23" max="23" width="21" hidden="0" customWidth="1"/>
    <x:col min="24" max="24" width="22" hidden="0" customWidth="1"/>
    <x:col min="25" max="25" width="21" hidden="0" customWidth="1"/>
    <x:col min="26" max="26" width="29" hidden="0" customWidth="1"/>
    <x:col min="27" max="27" width="21" hidden="0" customWidth="1"/>
    <x:col min="28" max="28" width="22" hidden="0" customWidth="1"/>
    <x:col min="29" max="29" width="21" hidden="0" customWidth="1"/>
    <x:col min="30" max="30" width="29" hidden="0" customWidth="1"/>
    <x:col min="31" max="31" width="21" hidden="0" customWidth="1"/>
    <x:col min="32" max="32" width="22" hidden="0" customWidth="1"/>
    <x:col min="33" max="33" width="29" hidden="0" customWidth="1"/>
    <x:col min="34" max="34" width="21" hidden="0" customWidth="1"/>
    <x:col min="35" max="35" width="21" hidden="0" customWidth="1"/>
    <x:col min="36" max="36" width="12" hidden="0" customWidth="1"/>
    <x:col min="37" max="37" width="9" hidden="0" customWidth="1"/>
    <x:col min="38" max="38" width="22" hidden="0" customWidth="1"/>
    <x:col min="39" max="39" width="29" hidden="0" customWidth="1"/>
    <x:col min="40" max="40" width="21" hidden="0" customWidth="1"/>
    <x:col min="41" max="41" width="55" hidden="0" customWidth="1"/>
  </x:cols>
  <x:sheetData>
    <x:row r="1" ht="60" customHeight="1">
      <x:c r="A1" s="22" t="str">
        <x:v>First Name</x:v>
      </x:c>
      <x:c r="B1" s="22" t="str">
        <x:v>Last Name</x:v>
      </x:c>
      <x:c r="C1" s="22" t="str">
        <x:v>Personal email</x:v>
      </x:c>
      <x:c r="D1" s="22" t="str">
        <x:v>company net income</x:v>
      </x:c>
      <x:c r="E1" s="22" t="str">
        <x:v>Company </x:v>
      </x:c>
      <x:c r="F1" s="22" t="str">
        <x:v>title</x:v>
      </x:c>
      <x:c r="G1" s="22" t="str">
        <x:v>Industry sector - person</x:v>
      </x:c>
      <x:c r="H1" s="22" t="str">
        <x:v>Sal2025 USD</x:v>
      </x:c>
      <x:c r="I1" s="22" t="str">
        <x:v>Sal2024 USD</x:v>
      </x:c>
      <x:c r="J1" s="22" t="str">
        <x:v>Salary 2025 CDN$:</x:v>
      </x:c>
      <x:c r="K1" s="22" t="str">
        <x:v>Salary 2024 CDN$:</x:v>
      </x:c>
      <x:c r="L1" s="22" t="str">
        <x:v>Shar2025 USD</x:v>
      </x:c>
      <x:c r="M1" s="22" t="str">
        <x:v>Shar2024 USD</x:v>
      </x:c>
      <x:c r="N1" s="22" t="str">
        <x:v>Share based awards 2025 CDN$:</x:v>
      </x:c>
      <x:c r="O1" s="22" t="str">
        <x:v>Share based awards 2024 CDN$:</x:v>
      </x:c>
      <x:c r="P1" s="22" t="str">
        <x:v>OPT2025 USD</x:v>
      </x:c>
      <x:c r="Q1" s="22" t="str">
        <x:v>OPT2024 USD</x:v>
      </x:c>
      <x:c r="R1" s="22" t="str">
        <x:v>Option Awards 2025 CDN$:</x:v>
      </x:c>
      <x:c r="S1" s="22" t="str">
        <x:v>Option Awards 2024 CDN$:</x:v>
      </x:c>
      <x:c r="T1" s="22" t="str">
        <x:v>Bon2025 USD</x:v>
      </x:c>
      <x:c r="U1" s="22" t="str">
        <x:v>Bon2024 USD</x:v>
      </x:c>
      <x:c r="V1" s="22" t="str">
        <x:v>Bonus 2025 CDN$:</x:v>
      </x:c>
      <x:c r="W1" s="22" t="str">
        <x:v>Bonus 2024 CDN$:</x:v>
      </x:c>
      <x:c r="X1" s="22" t="str">
        <x:v>Pen2025 USD</x:v>
      </x:c>
      <x:c r="Y1" s="22" t="str">
        <x:v>Pen2024 USD</x:v>
      </x:c>
      <x:c r="Z1" s="22" t="str">
        <x:v>Pension value 2025 CDN$:</x:v>
      </x:c>
      <x:c r="AA1" s="22" t="str">
        <x:v>Pension value 2024 CDN$:</x:v>
      </x:c>
      <x:c r="AB1" s="22" t="str">
        <x:v>Oth2025 USD</x:v>
      </x:c>
      <x:c r="AC1" s="22" t="str">
        <x:v>Oth2024 USD</x:v>
      </x:c>
      <x:c r="AD1" s="22" t="str">
        <x:v>Other comp 2025 CDN$:</x:v>
      </x:c>
      <x:c r="AE1" s="22" t="str">
        <x:v>Other comp 2024 CDN$:</x:v>
      </x:c>
      <x:c r="AF1" s="22" t="str">
        <x:v>Total comp USD upload 2025</x:v>
      </x:c>
      <x:c r="AG1" s="22" t="str">
        <x:v>Total comp CAD upload 2025</x:v>
      </x:c>
      <x:c r="AH1" s="22" t="str">
        <x:v>Total comp USD upload 2024</x:v>
      </x:c>
      <x:c r="AI1" s="22" t="str">
        <x:v>Total comp CAD upload 2024</x:v>
      </x:c>
      <x:c r="AJ1" s="22" t="str">
        <x:v>stock</x:v>
      </x:c>
      <x:c r="AK1" s="22" t="str">
        <x:v>Rank</x:v>
      </x:c>
      <x:c r="AL1" s="22" t="str">
        <x:v>Long-term incentives 2025 USD</x:v>
      </x:c>
      <x:c r="AM1" s="22" t="str">
        <x:v>Long-term incentives 2025 CDN$:</x:v>
      </x:c>
      <x:c r="AN1" s="22" t="str">
        <x:v>Fiscal year end</x:v>
      </x:c>
      <x:c r="AO1" s="22" t="str">
        <x:v>Review notes</x:v>
      </x:c>
    </x:row>
    <x:row r="2" ht="36" customHeight="1">
      <x:c r="A2" s="23" t="str">
        <x:v>Rich</x:v>
      </x:c>
      <x:c r="B2" s="23" t="str">
        <x:v>Sumner</x:v>
      </x:c>
      <x:c r="C2" s="23"/>
      <x:c r="D2" s="23"/>
      <x:c r="E2" s="23" t="str">
        <x:v>Methanex Corporation</x:v>
      </x:c>
      <x:c r="F2" s="24" t="str">
        <x:v>president &amp; ceo</x:v>
      </x:c>
      <x:c r="G2" s="23"/>
      <x:c r="H2" s="23"/>
      <x:c r="I2" s="23"/>
      <x:c r="J2" s="25" t="n">
        <x:f>'Source data'!L7</x:f>
        <x:v>1212500</x:v>
      </x:c>
      <x:c r="K2" s="23"/>
      <x:c r="L2" s="23"/>
      <x:c r="M2" s="23"/>
      <x:c r="N2" s="25" t="n">
        <x:f>'Source data'!L8</x:f>
        <x:v>2613160</x:v>
      </x:c>
      <x:c r="O2" s="23"/>
      <x:c r="P2" s="23"/>
      <x:c r="Q2" s="23"/>
      <x:c r="R2" s="25" t="n">
        <x:f>'Source data'!L9</x:f>
        <x:v>2610902</x:v>
      </x:c>
      <x:c r="S2" s="23"/>
      <x:c r="T2" s="23"/>
      <x:c r="U2" s="23"/>
      <x:c r="V2" s="25" t="n">
        <x:f>'Source data'!L10</x:f>
        <x:v>1985000</x:v>
      </x:c>
      <x:c r="W2" s="23"/>
      <x:c r="X2" s="23"/>
      <x:c r="Y2" s="23"/>
      <x:c r="Z2" s="25" t="n">
        <x:f>'Source data'!L12</x:f>
        <x:v>300094</x:v>
      </x:c>
      <x:c r="AA2" s="23"/>
      <x:c r="AB2" s="23"/>
      <x:c r="AC2" s="23"/>
      <x:c r="AD2" s="25" t="n">
        <x:f>'Source data'!L13</x:f>
        <x:v>140078</x:v>
      </x:c>
      <x:c r="AE2" s="23"/>
      <x:c r="AF2" s="23"/>
      <x:c r="AG2" s="27" t="n">
        <x:f>'Source data'!L6</x:f>
        <x:v>8861734</x:v>
      </x:c>
      <x:c r="AH2" s="23"/>
      <x:c r="AI2" s="23"/>
      <x:c r="AJ2" s="23" t="str">
        <x:v>MX</x:v>
      </x:c>
      <x:c r="AK2" s="23" t="n">
        <x:f>IF(ISNUMBER(AG2),RANK(AG2,$AG$2:$AG$17,0),"")</x:f>
        <x:v>1</x:v>
      </x:c>
      <x:c r="AL2" s="23"/>
      <x:c r="AM2" s="25" t="str">
        <x:f>'Source data'!L11</x:f>
      </x:c>
      <x:c r="AN2" s="26" t="d">
        <x:v>2025-12-31T12:00:00.000Z</x:v>
      </x:c>
      <x:c r="AO2" s="24" t="str">
        <x:v>Verified total; component review required</x:v>
      </x:c>
    </x:row>
    <x:row r="3" ht="36" customHeight="1">
      <x:c r="A3" s="23" t="str">
        <x:v>Clive</x:v>
      </x:c>
      <x:c r="B3" s="23" t="str">
        <x:v>Johnson</x:v>
      </x:c>
      <x:c r="C3" s="23"/>
      <x:c r="D3" s="23"/>
      <x:c r="E3" s="23" t="str">
        <x:v>B2Gold Corp.</x:v>
      </x:c>
      <x:c r="F3" s="24" t="str">
        <x:v>director, president and ceo</x:v>
      </x:c>
      <x:c r="G3" s="23"/>
      <x:c r="H3" s="25" t="n">
        <x:f>'Source data'!H15*'Source data'!J15</x:f>
        <x:v>949000</x:v>
      </x:c>
      <x:c r="I3" s="23"/>
      <x:c r="J3" s="25" t="n">
        <x:f>'Source data'!L15</x:f>
        <x:v>1326512.2</x:v>
      </x:c>
      <x:c r="K3" s="23"/>
      <x:c r="L3" s="25" t="n">
        <x:f>'Source data'!H16*'Source data'!J16</x:f>
        <x:v>2729835</x:v>
      </x:c>
      <x:c r="M3" s="23"/>
      <x:c r="N3" s="25" t="n">
        <x:f>'Source data'!L16</x:f>
        <x:v>3815763.363</x:v>
      </x:c>
      <x:c r="O3" s="23"/>
      <x:c r="P3" s="23"/>
      <x:c r="Q3" s="23"/>
      <x:c r="R3" s="25" t="str">
        <x:f>'Source data'!L17</x:f>
      </x:c>
      <x:c r="S3" s="23"/>
      <x:c r="T3" s="25" t="n">
        <x:f>'Source data'!H18*'Source data'!J18</x:f>
        <x:v>1010685</x:v>
      </x:c>
      <x:c r="U3" s="23"/>
      <x:c r="V3" s="25" t="n">
        <x:f>'Source data'!L18</x:f>
        <x:v>1412735.493</x:v>
      </x:c>
      <x:c r="W3" s="23"/>
      <x:c r="X3" s="23"/>
      <x:c r="Y3" s="23"/>
      <x:c r="Z3" s="25" t="str">
        <x:f>'Source data'!L20</x:f>
      </x:c>
      <x:c r="AA3" s="23"/>
      <x:c r="AB3" s="25" t="n">
        <x:f>'Source data'!H21*'Source data'!J21</x:f>
        <x:v>149833</x:v>
      </x:c>
      <x:c r="AC3" s="23"/>
      <x:c r="AD3" s="25" t="n">
        <x:f>'Source data'!L21</x:f>
        <x:v>209436.5674</x:v>
      </x:c>
      <x:c r="AE3" s="23"/>
      <x:c r="AF3" s="25" t="n">
        <x:f>'Source data'!H14*'Source data'!J14</x:f>
        <x:v>4839353</x:v>
      </x:c>
      <x:c r="AG3" s="27" t="n">
        <x:f>'Source data'!L14</x:f>
        <x:v>6764447.6234</x:v>
      </x:c>
      <x:c r="AH3" s="23"/>
      <x:c r="AI3" s="23"/>
      <x:c r="AJ3" s="23" t="str">
        <x:v>BTO</x:v>
      </x:c>
      <x:c r="AK3" s="23" t="n">
        <x:f>IF(ISNUMBER(AG3),RANK(AG3,$AG$2:$AG$17,0),"")</x:f>
        <x:v>2</x:v>
      </x:c>
      <x:c r="AL3" s="23"/>
      <x:c r="AM3" s="25" t="str">
        <x:f>'Source data'!L19</x:f>
      </x:c>
      <x:c r="AN3" s="26" t="d">
        <x:v>2025-12-31T12:00:00.000Z</x:v>
      </x:c>
      <x:c r="AO3" s="24" t="str">
        <x:v>Verified total; component review required</x:v>
      </x:c>
    </x:row>
    <x:row r="4" ht="36" customHeight="1">
      <x:c r="A4" s="23" t="str">
        <x:v>Gustavo</x:v>
      </x:c>
      <x:c r="B4" s="23" t="str">
        <x:v>Parra</x:v>
      </x:c>
      <x:c r="C4" s="23"/>
      <x:c r="D4" s="23"/>
      <x:c r="E4" s="23" t="str">
        <x:v>Methanex Corporation</x:v>
      </x:c>
      <x:c r="F4" s="24" t="str">
        <x:v>senior vp, manufacturing</x:v>
      </x:c>
      <x:c r="G4" s="23"/>
      <x:c r="H4" s="23"/>
      <x:c r="I4" s="23"/>
      <x:c r="J4" s="25" t="n">
        <x:f>'Source data'!L23</x:f>
        <x:v>607903</x:v>
      </x:c>
      <x:c r="K4" s="23"/>
      <x:c r="L4" s="23"/>
      <x:c r="M4" s="23"/>
      <x:c r="N4" s="25" t="n">
        <x:f>'Source data'!L24</x:f>
        <x:v>570144</x:v>
      </x:c>
      <x:c r="O4" s="23"/>
      <x:c r="P4" s="23"/>
      <x:c r="Q4" s="23"/>
      <x:c r="R4" s="25" t="n">
        <x:f>'Source data'!L25</x:f>
        <x:v>571291</x:v>
      </x:c>
      <x:c r="S4" s="23"/>
      <x:c r="T4" s="23"/>
      <x:c r="U4" s="23"/>
      <x:c r="V4" s="25" t="n">
        <x:f>'Source data'!L26</x:f>
        <x:v>494000</x:v>
      </x:c>
      <x:c r="W4" s="23"/>
      <x:c r="X4" s="23"/>
      <x:c r="Y4" s="23"/>
      <x:c r="Z4" s="25" t="n">
        <x:f>'Source data'!L28</x:f>
        <x:v>95952</x:v>
      </x:c>
      <x:c r="AA4" s="23"/>
      <x:c r="AB4" s="23"/>
      <x:c r="AC4" s="23"/>
      <x:c r="AD4" s="25" t="n">
        <x:f>'Source data'!L29</x:f>
        <x:v>1318090</x:v>
      </x:c>
      <x:c r="AE4" s="23"/>
      <x:c r="AF4" s="23"/>
      <x:c r="AG4" s="27" t="n">
        <x:f>'Source data'!L22</x:f>
        <x:v>3657380</x:v>
      </x:c>
      <x:c r="AH4" s="23"/>
      <x:c r="AI4" s="23"/>
      <x:c r="AJ4" s="23" t="str">
        <x:v>MX</x:v>
      </x:c>
      <x:c r="AK4" s="23" t="n">
        <x:f>IF(ISNUMBER(AG4),RANK(AG4,$AG$2:$AG$17,0),"")</x:f>
        <x:v>3</x:v>
      </x:c>
      <x:c r="AL4" s="23"/>
      <x:c r="AM4" s="25" t="str">
        <x:f>'Source data'!L27</x:f>
      </x:c>
      <x:c r="AN4" s="26" t="d">
        <x:v>2025-12-31T12:00:00.000Z</x:v>
      </x:c>
      <x:c r="AO4" s="24" t="str">
        <x:v>Verified total; component review required</x:v>
      </x:c>
    </x:row>
    <x:row r="5" ht="36" customHeight="1">
      <x:c r="A5" s="23" t="str">
        <x:v>Michael</x:v>
      </x:c>
      <x:c r="B5" s="23" t="str">
        <x:v>Cinnamond</x:v>
      </x:c>
      <x:c r="C5" s="23"/>
      <x:c r="D5" s="23"/>
      <x:c r="E5" s="23" t="str">
        <x:v>B2Gold Corp.</x:v>
      </x:c>
      <x:c r="F5" s="24" t="str">
        <x:v>senior vice president, finance and cfo</x:v>
      </x:c>
      <x:c r="G5" s="23"/>
      <x:c r="H5" s="25" t="n">
        <x:f>'Source data'!H31*'Source data'!J31</x:f>
        <x:v>474500</x:v>
      </x:c>
      <x:c r="I5" s="23"/>
      <x:c r="J5" s="25" t="n">
        <x:f>'Source data'!L31</x:f>
        <x:v>663256.1</x:v>
      </x:c>
      <x:c r="K5" s="23"/>
      <x:c r="L5" s="25" t="n">
        <x:f>'Source data'!H32*'Source data'!J32</x:f>
        <x:v>1547418</x:v>
      </x:c>
      <x:c r="M5" s="23"/>
      <x:c r="N5" s="25" t="n">
        <x:f>'Source data'!L32</x:f>
        <x:v>2162980.8803999997</x:v>
      </x:c>
      <x:c r="O5" s="23"/>
      <x:c r="P5" s="23"/>
      <x:c r="Q5" s="23"/>
      <x:c r="R5" s="25" t="str">
        <x:f>'Source data'!L33</x:f>
      </x:c>
      <x:c r="S5" s="23"/>
      <x:c r="T5" s="25" t="n">
        <x:f>'Source data'!H34*'Source data'!J34</x:f>
        <x:v>379007</x:v>
      </x:c>
      <x:c r="U5" s="23"/>
      <x:c r="V5" s="25" t="n">
        <x:f>'Source data'!L34</x:f>
        <x:v>529775.9846</x:v>
      </x:c>
      <x:c r="W5" s="23"/>
      <x:c r="X5" s="23"/>
      <x:c r="Y5" s="23"/>
      <x:c r="Z5" s="25" t="str">
        <x:f>'Source data'!L36</x:f>
      </x:c>
      <x:c r="AA5" s="23"/>
      <x:c r="AB5" s="25" t="n">
        <x:f>'Source data'!H37*'Source data'!J37</x:f>
        <x:v>59018</x:v>
      </x:c>
      <x:c r="AC5" s="23"/>
      <x:c r="AD5" s="25" t="n">
        <x:f>'Source data'!L37</x:f>
        <x:v>82495.36039999999</x:v>
      </x:c>
      <x:c r="AE5" s="23"/>
      <x:c r="AF5" s="25" t="n">
        <x:f>'Source data'!H30*'Source data'!J30</x:f>
        <x:v>2459943</x:v>
      </x:c>
      <x:c r="AG5" s="27" t="n">
        <x:f>'Source data'!L30</x:f>
        <x:v>3438508.3254</x:v>
      </x:c>
      <x:c r="AH5" s="23"/>
      <x:c r="AI5" s="23"/>
      <x:c r="AJ5" s="23" t="str">
        <x:v>BTO</x:v>
      </x:c>
      <x:c r="AK5" s="23" t="n">
        <x:f>IF(ISNUMBER(AG5),RANK(AG5,$AG$2:$AG$17,0),"")</x:f>
        <x:v>4</x:v>
      </x:c>
      <x:c r="AL5" s="23"/>
      <x:c r="AM5" s="25" t="str">
        <x:f>'Source data'!L35</x:f>
      </x:c>
      <x:c r="AN5" s="26" t="d">
        <x:v>2025-12-31T12:00:00.000Z</x:v>
      </x:c>
      <x:c r="AO5" s="24" t="str">
        <x:v>Verified total; component review required</x:v>
      </x:c>
    </x:row>
    <x:row r="6" ht="36" customHeight="1">
      <x:c r="A6" s="23" t="str">
        <x:v>William</x:v>
      </x:c>
      <x:c r="B6" s="23" t="str">
        <x:v>Lytle</x:v>
      </x:c>
      <x:c r="C6" s="23"/>
      <x:c r="D6" s="23"/>
      <x:c r="E6" s="23" t="str">
        <x:v>B2Gold Corp.</x:v>
      </x:c>
      <x:c r="F6" s="24" t="str">
        <x:v>senior vice president, operations and coo</x:v>
      </x:c>
      <x:c r="G6" s="23"/>
      <x:c r="H6" s="25" t="n">
        <x:f>'Source data'!H39*'Source data'!J39</x:f>
        <x:v>474500</x:v>
      </x:c>
      <x:c r="I6" s="23"/>
      <x:c r="J6" s="25" t="n">
        <x:f>'Source data'!L39</x:f>
        <x:v>663256.1</x:v>
      </x:c>
      <x:c r="K6" s="23"/>
      <x:c r="L6" s="25" t="n">
        <x:f>'Source data'!H40*'Source data'!J40</x:f>
        <x:v>1547418</x:v>
      </x:c>
      <x:c r="M6" s="23"/>
      <x:c r="N6" s="25" t="n">
        <x:f>'Source data'!L40</x:f>
        <x:v>2162980.8803999997</x:v>
      </x:c>
      <x:c r="O6" s="23"/>
      <x:c r="P6" s="23"/>
      <x:c r="Q6" s="23"/>
      <x:c r="R6" s="25" t="str">
        <x:f>'Source data'!L41</x:f>
      </x:c>
      <x:c r="S6" s="23"/>
      <x:c r="T6" s="25" t="n">
        <x:f>'Source data'!H42*'Source data'!J42</x:f>
        <x:v>379007</x:v>
      </x:c>
      <x:c r="U6" s="23"/>
      <x:c r="V6" s="25" t="n">
        <x:f>'Source data'!L42</x:f>
        <x:v>529775.9846</x:v>
      </x:c>
      <x:c r="W6" s="23"/>
      <x:c r="X6" s="23"/>
      <x:c r="Y6" s="23"/>
      <x:c r="Z6" s="25" t="str">
        <x:f>'Source data'!L44</x:f>
      </x:c>
      <x:c r="AA6" s="23"/>
      <x:c r="AB6" s="25" t="n">
        <x:f>'Source data'!H45*'Source data'!J45</x:f>
        <x:v>54517</x:v>
      </x:c>
      <x:c r="AC6" s="23"/>
      <x:c r="AD6" s="25" t="n">
        <x:f>'Source data'!L45</x:f>
        <x:v>76203.8626</x:v>
      </x:c>
      <x:c r="AE6" s="23"/>
      <x:c r="AF6" s="25" t="n">
        <x:f>'Source data'!H38*'Source data'!J38</x:f>
        <x:v>2455442</x:v>
      </x:c>
      <x:c r="AG6" s="27" t="n">
        <x:f>'Source data'!L38</x:f>
        <x:v>3432216.8276</x:v>
      </x:c>
      <x:c r="AH6" s="23"/>
      <x:c r="AI6" s="23"/>
      <x:c r="AJ6" s="23" t="str">
        <x:v>BTO</x:v>
      </x:c>
      <x:c r="AK6" s="23" t="n">
        <x:f>IF(ISNUMBER(AG6),RANK(AG6,$AG$2:$AG$17,0),"")</x:f>
        <x:v>5</x:v>
      </x:c>
      <x:c r="AL6" s="23"/>
      <x:c r="AM6" s="25" t="str">
        <x:f>'Source data'!L43</x:f>
      </x:c>
      <x:c r="AN6" s="26" t="d">
        <x:v>2025-12-31T12:00:00.000Z</x:v>
      </x:c>
      <x:c r="AO6" s="24" t="str">
        <x:v>Verified total; component review required</x:v>
      </x:c>
    </x:row>
    <x:row r="7" ht="36" customHeight="1">
      <x:c r="A7" s="23" t="str">
        <x:v>Randall</x:v>
      </x:c>
      <x:c r="B7" s="23" t="str">
        <x:v>Chatwin</x:v>
      </x:c>
      <x:c r="C7" s="23"/>
      <x:c r="D7" s="23"/>
      <x:c r="E7" s="23" t="str">
        <x:v>B2Gold Corp.</x:v>
      </x:c>
      <x:c r="F7" s="24" t="str">
        <x:v>senior vice president, legal and corporate communications</x:v>
      </x:c>
      <x:c r="G7" s="23"/>
      <x:c r="H7" s="25" t="n">
        <x:f>'Source data'!H47*'Source data'!J47</x:f>
        <x:v>456250</x:v>
      </x:c>
      <x:c r="I7" s="23"/>
      <x:c r="J7" s="25" t="n">
        <x:f>'Source data'!L47</x:f>
        <x:v>637746.25</x:v>
      </x:c>
      <x:c r="K7" s="23"/>
      <x:c r="L7" s="25" t="n">
        <x:f>'Source data'!H48*'Source data'!J48</x:f>
        <x:v>1510918</x:v>
      </x:c>
      <x:c r="M7" s="23"/>
      <x:c r="N7" s="25" t="n">
        <x:f>'Source data'!L48</x:f>
        <x:v>2111961.1804</x:v>
      </x:c>
      <x:c r="O7" s="23"/>
      <x:c r="P7" s="23"/>
      <x:c r="Q7" s="23"/>
      <x:c r="R7" s="25" t="str">
        <x:f>'Source data'!L49</x:f>
      </x:c>
      <x:c r="S7" s="23"/>
      <x:c r="T7" s="25" t="n">
        <x:f>'Source data'!H50*'Source data'!J50</x:f>
        <x:v>364430</x:v>
      </x:c>
      <x:c r="U7" s="23"/>
      <x:c r="V7" s="25" t="n">
        <x:f>'Source data'!L50</x:f>
        <x:v>509400.25399999996</x:v>
      </x:c>
      <x:c r="W7" s="23"/>
      <x:c r="X7" s="23"/>
      <x:c r="Y7" s="23"/>
      <x:c r="Z7" s="25" t="str">
        <x:f>'Source data'!L52</x:f>
      </x:c>
      <x:c r="AA7" s="23"/>
      <x:c r="AB7" s="25" t="n">
        <x:f>'Source data'!H53*'Source data'!J53</x:f>
        <x:v>46916</x:v>
      </x:c>
      <x:c r="AC7" s="23"/>
      <x:c r="AD7" s="25" t="n">
        <x:f>'Source data'!L53</x:f>
        <x:v>65579.1848</x:v>
      </x:c>
      <x:c r="AE7" s="23"/>
      <x:c r="AF7" s="25" t="n">
        <x:f>'Source data'!H46*'Source data'!J46</x:f>
        <x:v>2378514</x:v>
      </x:c>
      <x:c r="AG7" s="27" t="n">
        <x:f>'Source data'!L46</x:f>
        <x:v>3324686.8691999996</x:v>
      </x:c>
      <x:c r="AH7" s="23"/>
      <x:c r="AI7" s="23"/>
      <x:c r="AJ7" s="23" t="str">
        <x:v>BTO</x:v>
      </x:c>
      <x:c r="AK7" s="23" t="n">
        <x:f>IF(ISNUMBER(AG7),RANK(AG7,$AG$2:$AG$17,0),"")</x:f>
        <x:v>6</x:v>
      </x:c>
      <x:c r="AL7" s="23"/>
      <x:c r="AM7" s="25" t="str">
        <x:f>'Source data'!L51</x:f>
      </x:c>
      <x:c r="AN7" s="26" t="d">
        <x:v>2025-12-31T12:00:00.000Z</x:v>
      </x:c>
      <x:c r="AO7" s="24" t="str">
        <x:v>Verified total; component review required</x:v>
      </x:c>
    </x:row>
    <x:row r="8" ht="36" customHeight="1">
      <x:c r="A8" s="23" t="str">
        <x:v>Ian M.</x:v>
      </x:c>
      <x:c r="B8" s="23" t="str">
        <x:v>Fillinger</x:v>
      </x:c>
      <x:c r="C8" s="23"/>
      <x:c r="D8" s="23"/>
      <x:c r="E8" s="23" t="str">
        <x:v>Interfor Corporation</x:v>
      </x:c>
      <x:c r="F8" s="24" t="str">
        <x:v>president &amp; chief executive officer</x:v>
      </x:c>
      <x:c r="G8" s="23"/>
      <x:c r="H8" s="23"/>
      <x:c r="I8" s="23"/>
      <x:c r="J8" s="25" t="n">
        <x:f>'Source data'!L55</x:f>
        <x:v>873457</x:v>
      </x:c>
      <x:c r="K8" s="23"/>
      <x:c r="L8" s="23"/>
      <x:c r="M8" s="23"/>
      <x:c r="N8" s="25" t="n">
        <x:f>'Source data'!L56</x:f>
        <x:v>1983925</x:v>
      </x:c>
      <x:c r="O8" s="23"/>
      <x:c r="P8" s="23"/>
      <x:c r="Q8" s="23"/>
      <x:c r="R8" s="25" t="str">
        <x:f>'Source data'!L57</x:f>
      </x:c>
      <x:c r="S8" s="23"/>
      <x:c r="T8" s="23"/>
      <x:c r="U8" s="23"/>
      <x:c r="V8" s="25" t="str">
        <x:f>'Source data'!L58</x:f>
      </x:c>
      <x:c r="W8" s="23"/>
      <x:c r="X8" s="23"/>
      <x:c r="Y8" s="23"/>
      <x:c r="Z8" s="25" t="n">
        <x:f>'Source data'!L60</x:f>
        <x:v>89134</x:v>
      </x:c>
      <x:c r="AA8" s="23"/>
      <x:c r="AB8" s="23"/>
      <x:c r="AC8" s="23"/>
      <x:c r="AD8" s="25" t="n">
        <x:f>'Source data'!L61</x:f>
        <x:v>181706</x:v>
      </x:c>
      <x:c r="AE8" s="23"/>
      <x:c r="AF8" s="23"/>
      <x:c r="AG8" s="27" t="n">
        <x:f>'Source data'!L54</x:f>
        <x:v>3128221</x:v>
      </x:c>
      <x:c r="AH8" s="23"/>
      <x:c r="AI8" s="23"/>
      <x:c r="AJ8" s="23" t="str">
        <x:v>IFP</x:v>
      </x:c>
      <x:c r="AK8" s="23" t="n">
        <x:f>IF(ISNUMBER(AG8),RANK(AG8,$AG$2:$AG$17,0),"")</x:f>
        <x:v>7</x:v>
      </x:c>
      <x:c r="AL8" s="23"/>
      <x:c r="AM8" s="25" t="str">
        <x:f>'Source data'!L59</x:f>
      </x:c>
      <x:c r="AN8" s="26" t="d">
        <x:v>2025-12-31T12:00:00.000Z</x:v>
      </x:c>
      <x:c r="AO8" s="24" t="str">
        <x:v>Verified total; component review required</x:v>
      </x:c>
    </x:row>
    <x:row r="9" ht="36" customHeight="1">
      <x:c r="A9" s="23" t="str">
        <x:v>Dean</x:v>
      </x:c>
      <x:c r="B9" s="23" t="str">
        <x:v>Richardson</x:v>
      </x:c>
      <x:c r="C9" s="23"/>
      <x:c r="D9" s="23"/>
      <x:c r="E9" s="23" t="str">
        <x:v>Methanex Corporation</x:v>
      </x:c>
      <x:c r="F9" s="24" t="str">
        <x:v>senior vp, finance &amp; cfo</x:v>
      </x:c>
      <x:c r="G9" s="23"/>
      <x:c r="H9" s="23"/>
      <x:c r="I9" s="23"/>
      <x:c r="J9" s="25" t="n">
        <x:f>'Source data'!L63</x:f>
        <x:v>661500</x:v>
      </x:c>
      <x:c r="K9" s="23"/>
      <x:c r="L9" s="23"/>
      <x:c r="M9" s="23"/>
      <x:c r="N9" s="25" t="n">
        <x:f>'Source data'!L64</x:f>
        <x:v>754253</x:v>
      </x:c>
      <x:c r="O9" s="23"/>
      <x:c r="P9" s="23"/>
      <x:c r="Q9" s="23"/>
      <x:c r="R9" s="25" t="n">
        <x:f>'Source data'!L65</x:f>
        <x:v>756711</x:v>
      </x:c>
      <x:c r="S9" s="23"/>
      <x:c r="T9" s="23"/>
      <x:c r="U9" s="23"/>
      <x:c r="V9" s="25" t="n">
        <x:f>'Source data'!L66</x:f>
        <x:v>650000</x:v>
      </x:c>
      <x:c r="W9" s="23"/>
      <x:c r="X9" s="23"/>
      <x:c r="Y9" s="23"/>
      <x:c r="Z9" s="25" t="n">
        <x:f>'Source data'!L68</x:f>
        <x:v>127339</x:v>
      </x:c>
      <x:c r="AA9" s="23"/>
      <x:c r="AB9" s="23"/>
      <x:c r="AC9" s="23"/>
      <x:c r="AD9" s="25" t="n">
        <x:f>'Source data'!L69</x:f>
        <x:v>101757</x:v>
      </x:c>
      <x:c r="AE9" s="23"/>
      <x:c r="AF9" s="23"/>
      <x:c r="AG9" s="27" t="n">
        <x:f>'Source data'!L62</x:f>
        <x:v>3051560</x:v>
      </x:c>
      <x:c r="AH9" s="23"/>
      <x:c r="AI9" s="23"/>
      <x:c r="AJ9" s="23" t="str">
        <x:v>MX</x:v>
      </x:c>
      <x:c r="AK9" s="23" t="n">
        <x:f>IF(ISNUMBER(AG9),RANK(AG9,$AG$2:$AG$17,0),"")</x:f>
        <x:v>8</x:v>
      </x:c>
      <x:c r="AL9" s="23"/>
      <x:c r="AM9" s="25" t="str">
        <x:f>'Source data'!L67</x:f>
      </x:c>
      <x:c r="AN9" s="26" t="d">
        <x:v>2025-12-31T12:00:00.000Z</x:v>
      </x:c>
      <x:c r="AO9" s="24" t="str">
        <x:v>Verified total; component review required</x:v>
      </x:c>
    </x:row>
    <x:row r="10" ht="36" customHeight="1">
      <x:c r="A10" s="23" t="str">
        <x:v>Victor</x:v>
      </x:c>
      <x:c r="B10" s="23" t="str">
        <x:v>King</x:v>
      </x:c>
      <x:c r="C10" s="23"/>
      <x:c r="D10" s="23"/>
      <x:c r="E10" s="23" t="str">
        <x:v>B2Gold Corp.</x:v>
      </x:c>
      <x:c r="F10" s="24" t="str">
        <x:v>senior vice president, exploration</x:v>
      </x:c>
      <x:c r="G10" s="23"/>
      <x:c r="H10" s="25" t="n">
        <x:f>'Source data'!H71*'Source data'!J71</x:f>
        <x:v>438000</x:v>
      </x:c>
      <x:c r="I10" s="23"/>
      <x:c r="J10" s="25" t="n">
        <x:f>'Source data'!L71</x:f>
        <x:v>612236.4</x:v>
      </x:c>
      <x:c r="K10" s="23"/>
      <x:c r="L10" s="25" t="n">
        <x:f>'Source data'!H72*'Source data'!J72</x:f>
        <x:v>1328418</x:v>
      </x:c>
      <x:c r="M10" s="23"/>
      <x:c r="N10" s="25" t="n">
        <x:f>'Source data'!L72</x:f>
        <x:v>1856862.6804</x:v>
      </x:c>
      <x:c r="O10" s="23"/>
      <x:c r="P10" s="23"/>
      <x:c r="Q10" s="23"/>
      <x:c r="R10" s="25" t="str">
        <x:f>'Source data'!L73</x:f>
      </x:c>
      <x:c r="S10" s="23"/>
      <x:c r="T10" s="25" t="n">
        <x:f>'Source data'!H74*'Source data'!J74</x:f>
        <x:v>349853</x:v>
      </x:c>
      <x:c r="U10" s="23"/>
      <x:c r="V10" s="25" t="n">
        <x:f>'Source data'!L74</x:f>
        <x:v>489024.52339999995</x:v>
      </x:c>
      <x:c r="W10" s="23"/>
      <x:c r="X10" s="23"/>
      <x:c r="Y10" s="23"/>
      <x:c r="Z10" s="25" t="str">
        <x:f>'Source data'!L76</x:f>
      </x:c>
      <x:c r="AA10" s="23"/>
      <x:c r="AB10" s="25" t="n">
        <x:f>'Source data'!H77*'Source data'!J77</x:f>
        <x:v>49920</x:v>
      </x:c>
      <x:c r="AC10" s="23"/>
      <x:c r="AD10" s="25" t="n">
        <x:f>'Source data'!L77</x:f>
        <x:v>69778.17599999999</x:v>
      </x:c>
      <x:c r="AE10" s="23"/>
      <x:c r="AF10" s="25" t="n">
        <x:f>'Source data'!H70*'Source data'!J70</x:f>
        <x:v>2166191</x:v>
      </x:c>
      <x:c r="AG10" s="27" t="n">
        <x:f>'Source data'!L70</x:f>
        <x:v>3027901.7797999997</x:v>
      </x:c>
      <x:c r="AH10" s="23"/>
      <x:c r="AI10" s="23"/>
      <x:c r="AJ10" s="23" t="str">
        <x:v>BTO</x:v>
      </x:c>
      <x:c r="AK10" s="23" t="n">
        <x:f>IF(ISNUMBER(AG10),RANK(AG10,$AG$2:$AG$17,0),"")</x:f>
        <x:v>9</x:v>
      </x:c>
      <x:c r="AL10" s="23"/>
      <x:c r="AM10" s="25" t="str">
        <x:f>'Source data'!L75</x:f>
      </x:c>
      <x:c r="AN10" s="26" t="d">
        <x:v>2025-12-31T12:00:00.000Z</x:v>
      </x:c>
      <x:c r="AO10" s="24" t="str">
        <x:v>Verified total; component review required</x:v>
      </x:c>
    </x:row>
    <x:row r="11" ht="36" customHeight="1">
      <x:c r="A11" s="23" t="str">
        <x:v>Karine</x:v>
      </x:c>
      <x:c r="B11" s="23" t="str">
        <x:v>Delbarre</x:v>
      </x:c>
      <x:c r="C11" s="23"/>
      <x:c r="D11" s="23"/>
      <x:c r="E11" s="23" t="str">
        <x:v>Methanex Corporation</x:v>
      </x:c>
      <x:c r="F11" s="24" t="str">
        <x:v>senior vp, global marketing &amp; logistics</x:v>
      </x:c>
      <x:c r="G11" s="23"/>
      <x:c r="H11" s="23"/>
      <x:c r="I11" s="23"/>
      <x:c r="J11" s="25" t="n">
        <x:f>'Source data'!L79</x:f>
        <x:v>572595</x:v>
      </x:c>
      <x:c r="K11" s="23"/>
      <x:c r="L11" s="23"/>
      <x:c r="M11" s="23"/>
      <x:c r="N11" s="25" t="n">
        <x:f>'Source data'!L80</x:f>
        <x:v>540449</x:v>
      </x:c>
      <x:c r="O11" s="23"/>
      <x:c r="P11" s="23"/>
      <x:c r="Q11" s="23"/>
      <x:c r="R11" s="25" t="n">
        <x:f>'Source data'!L81</x:f>
        <x:v>538718</x:v>
      </x:c>
      <x:c r="S11" s="23"/>
      <x:c r="T11" s="23"/>
      <x:c r="U11" s="23"/>
      <x:c r="V11" s="25" t="n">
        <x:f>'Source data'!L82</x:f>
        <x:v>465000</x:v>
      </x:c>
      <x:c r="W11" s="23"/>
      <x:c r="X11" s="23"/>
      <x:c r="Y11" s="23"/>
      <x:c r="Z11" s="25" t="n">
        <x:f>'Source data'!L84</x:f>
        <x:v>95654</x:v>
      </x:c>
      <x:c r="AA11" s="23"/>
      <x:c r="AB11" s="23"/>
      <x:c r="AC11" s="23"/>
      <x:c r="AD11" s="25" t="n">
        <x:f>'Source data'!L85</x:f>
        <x:v>581924</x:v>
      </x:c>
      <x:c r="AE11" s="23"/>
      <x:c r="AF11" s="23"/>
      <x:c r="AG11" s="27" t="n">
        <x:f>'Source data'!L78</x:f>
        <x:v>2794340</x:v>
      </x:c>
      <x:c r="AH11" s="23"/>
      <x:c r="AI11" s="23"/>
      <x:c r="AJ11" s="23" t="str">
        <x:v>MX</x:v>
      </x:c>
      <x:c r="AK11" s="23" t="n">
        <x:f>IF(ISNUMBER(AG11),RANK(AG11,$AG$2:$AG$17,0),"")</x:f>
        <x:v>10</x:v>
      </x:c>
      <x:c r="AL11" s="23"/>
      <x:c r="AM11" s="25" t="str">
        <x:f>'Source data'!L83</x:f>
      </x:c>
      <x:c r="AN11" s="26" t="d">
        <x:v>2025-12-31T12:00:00.000Z</x:v>
      </x:c>
      <x:c r="AO11" s="24" t="str">
        <x:v>Verified total; component review required</x:v>
      </x:c>
    </x:row>
    <x:row r="12" ht="36" customHeight="1">
      <x:c r="A12" s="23" t="str">
        <x:v>Kevin</x:v>
      </x:c>
      <x:c r="B12" s="23" t="str">
        <x:v>Maloney</x:v>
      </x:c>
      <x:c r="C12" s="23"/>
      <x:c r="D12" s="23"/>
      <x:c r="E12" s="23" t="str">
        <x:v>Methanex Corporation</x:v>
      </x:c>
      <x:c r="F12" s="24" t="str">
        <x:v>senior vp, corporate development</x:v>
      </x:c>
      <x:c r="G12" s="23"/>
      <x:c r="H12" s="23"/>
      <x:c r="I12" s="23"/>
      <x:c r="J12" s="25" t="n">
        <x:f>'Source data'!L87</x:f>
        <x:v>609750</x:v>
      </x:c>
      <x:c r="K12" s="23"/>
      <x:c r="L12" s="23"/>
      <x:c r="M12" s="23"/>
      <x:c r="N12" s="25" t="n">
        <x:f>'Source data'!L88</x:f>
        <x:v>635473</x:v>
      </x:c>
      <x:c r="O12" s="23"/>
      <x:c r="P12" s="23"/>
      <x:c r="Q12" s="23"/>
      <x:c r="R12" s="25" t="n">
        <x:f>'Source data'!L89</x:f>
        <x:v>633933</x:v>
      </x:c>
      <x:c r="S12" s="23"/>
      <x:c r="T12" s="23"/>
      <x:c r="U12" s="23"/>
      <x:c r="V12" s="25" t="n">
        <x:f>'Source data'!L90</x:f>
        <x:v>495000</x:v>
      </x:c>
      <x:c r="W12" s="23"/>
      <x:c r="X12" s="23"/>
      <x:c r="Y12" s="23"/>
      <x:c r="Z12" s="25" t="n">
        <x:f>'Source data'!L92</x:f>
        <x:v>114023</x:v>
      </x:c>
      <x:c r="AA12" s="23"/>
      <x:c r="AB12" s="23"/>
      <x:c r="AC12" s="23"/>
      <x:c r="AD12" s="25" t="n">
        <x:f>'Source data'!L93</x:f>
        <x:v>100004</x:v>
      </x:c>
      <x:c r="AE12" s="23"/>
      <x:c r="AF12" s="23"/>
      <x:c r="AG12" s="27" t="n">
        <x:f>'Source data'!L86</x:f>
        <x:v>2588183</x:v>
      </x:c>
      <x:c r="AH12" s="23"/>
      <x:c r="AI12" s="23"/>
      <x:c r="AJ12" s="23" t="str">
        <x:v>MX</x:v>
      </x:c>
      <x:c r="AK12" s="23" t="n">
        <x:f>IF(ISNUMBER(AG12),RANK(AG12,$AG$2:$AG$17,0),"")</x:f>
        <x:v>11</x:v>
      </x:c>
      <x:c r="AL12" s="23"/>
      <x:c r="AM12" s="25" t="str">
        <x:f>'Source data'!L91</x:f>
      </x:c>
      <x:c r="AN12" s="26" t="d">
        <x:v>2025-12-31T12:00:00.000Z</x:v>
      </x:c>
      <x:c r="AO12" s="24" t="str">
        <x:v>Verified total; component review required</x:v>
      </x:c>
    </x:row>
    <x:row r="13" ht="36" customHeight="1">
      <x:c r="A13" s="23" t="str">
        <x:v>S. Bruce</x:v>
      </x:c>
      <x:c r="B13" s="23" t="str">
        <x:v>Luxmoore</x:v>
      </x:c>
      <x:c r="C13" s="23"/>
      <x:c r="D13" s="23"/>
      <x:c r="E13" s="23" t="str">
        <x:v>Interfor Corporation</x:v>
      </x:c>
      <x:c r="F13" s="24" t="str">
        <x:v>executive vice president, u.s. operations (former)</x:v>
      </x:c>
      <x:c r="G13" s="23"/>
      <x:c r="H13" s="23"/>
      <x:c r="I13" s="23"/>
      <x:c r="J13" s="25" t="n">
        <x:f>'Source data'!L95</x:f>
        <x:v>738207</x:v>
      </x:c>
      <x:c r="K13" s="23"/>
      <x:c r="L13" s="23"/>
      <x:c r="M13" s="23"/>
      <x:c r="N13" s="25" t="n">
        <x:f>'Source data'!L96</x:f>
        <x:v>554662</x:v>
      </x:c>
      <x:c r="O13" s="23"/>
      <x:c r="P13" s="23"/>
      <x:c r="Q13" s="23"/>
      <x:c r="R13" s="25" t="str">
        <x:f>'Source data'!L97</x:f>
      </x:c>
      <x:c r="S13" s="23"/>
      <x:c r="T13" s="23"/>
      <x:c r="U13" s="23"/>
      <x:c r="V13" s="25" t="str">
        <x:f>'Source data'!L98</x:f>
      </x:c>
      <x:c r="W13" s="23"/>
      <x:c r="X13" s="23"/>
      <x:c r="Y13" s="23"/>
      <x:c r="Z13" s="25" t="n">
        <x:f>'Source data'!L100</x:f>
        <x:v>54426</x:v>
      </x:c>
      <x:c r="AA13" s="23"/>
      <x:c r="AB13" s="23"/>
      <x:c r="AC13" s="23"/>
      <x:c r="AD13" s="25" t="n">
        <x:f>'Source data'!L101</x:f>
        <x:v>199751</x:v>
      </x:c>
      <x:c r="AE13" s="23"/>
      <x:c r="AF13" s="23"/>
      <x:c r="AG13" s="27" t="n">
        <x:f>'Source data'!L94</x:f>
        <x:v>1547046</x:v>
      </x:c>
      <x:c r="AH13" s="23"/>
      <x:c r="AI13" s="23"/>
      <x:c r="AJ13" s="23" t="str">
        <x:v>IFP</x:v>
      </x:c>
      <x:c r="AK13" s="23" t="n">
        <x:f>IF(ISNUMBER(AG13),RANK(AG13,$AG$2:$AG$17,0),"")</x:f>
        <x:v>12</x:v>
      </x:c>
      <x:c r="AL13" s="23"/>
      <x:c r="AM13" s="25" t="str">
        <x:f>'Source data'!L99</x:f>
      </x:c>
      <x:c r="AN13" s="26" t="d">
        <x:v>2025-12-31T12:00:00.000Z</x:v>
      </x:c>
      <x:c r="AO13" s="24" t="str">
        <x:v>Verified total; component review required</x:v>
      </x:c>
    </x:row>
    <x:row r="14" ht="36" customHeight="1">
      <x:c r="A14" s="23" t="str">
        <x:v>Richard A.</x:v>
      </x:c>
      <x:c r="B14" s="23" t="str">
        <x:v>Pozzebon</x:v>
      </x:c>
      <x:c r="C14" s="23"/>
      <x:c r="D14" s="23"/>
      <x:c r="E14" s="23" t="str">
        <x:v>Interfor Corporation</x:v>
      </x:c>
      <x:c r="F14" s="24" t="str">
        <x:v>executive vice president &amp; chief financial officer (former)</x:v>
      </x:c>
      <x:c r="G14" s="23"/>
      <x:c r="H14" s="23"/>
      <x:c r="I14" s="23"/>
      <x:c r="J14" s="25" t="n">
        <x:f>'Source data'!L103</x:f>
        <x:v>566924</x:v>
      </x:c>
      <x:c r="K14" s="23"/>
      <x:c r="L14" s="23"/>
      <x:c r="M14" s="23"/>
      <x:c r="N14" s="25" t="n">
        <x:f>'Source data'!L104</x:f>
        <x:v>678920</x:v>
      </x:c>
      <x:c r="O14" s="23"/>
      <x:c r="P14" s="23"/>
      <x:c r="Q14" s="23"/>
      <x:c r="R14" s="25" t="str">
        <x:f>'Source data'!L105</x:f>
      </x:c>
      <x:c r="S14" s="23"/>
      <x:c r="T14" s="23"/>
      <x:c r="U14" s="23"/>
      <x:c r="V14" s="25" t="str">
        <x:f>'Source data'!L106</x:f>
      </x:c>
      <x:c r="W14" s="23"/>
      <x:c r="X14" s="23"/>
      <x:c r="Y14" s="23"/>
      <x:c r="Z14" s="25" t="n">
        <x:f>'Source data'!L108</x:f>
        <x:v>46219</x:v>
      </x:c>
      <x:c r="AA14" s="23"/>
      <x:c r="AB14" s="23"/>
      <x:c r="AC14" s="23"/>
      <x:c r="AD14" s="25" t="n">
        <x:f>'Source data'!L109</x:f>
        <x:v>81403</x:v>
      </x:c>
      <x:c r="AE14" s="23"/>
      <x:c r="AF14" s="23"/>
      <x:c r="AG14" s="27" t="n">
        <x:f>'Source data'!L102</x:f>
        <x:v>1373466</x:v>
      </x:c>
      <x:c r="AH14" s="23"/>
      <x:c r="AI14" s="23"/>
      <x:c r="AJ14" s="23" t="str">
        <x:v>IFP</x:v>
      </x:c>
      <x:c r="AK14" s="23" t="n">
        <x:f>IF(ISNUMBER(AG14),RANK(AG14,$AG$2:$AG$17,0),"")</x:f>
        <x:v>13</x:v>
      </x:c>
      <x:c r="AL14" s="23"/>
      <x:c r="AM14" s="25" t="str">
        <x:f>'Source data'!L107</x:f>
      </x:c>
      <x:c r="AN14" s="26" t="d">
        <x:v>2025-12-31T12:00:00.000Z</x:v>
      </x:c>
      <x:c r="AO14" s="24" t="str">
        <x:v>Verified total; component review required</x:v>
      </x:c>
    </x:row>
    <x:row r="15" ht="36" customHeight="1">
      <x:c r="A15" s="23" t="str">
        <x:v>Timothy P.</x:v>
      </x:c>
      <x:c r="B15" s="23" t="str">
        <x:v>Hartnett</x:v>
      </x:c>
      <x:c r="C15" s="23"/>
      <x:c r="D15" s="23"/>
      <x:c r="E15" s="23" t="str">
        <x:v>Interfor Corporation</x:v>
      </x:c>
      <x:c r="F15" s="24" t="str">
        <x:v>senior vice president, human resources</x:v>
      </x:c>
      <x:c r="G15" s="23"/>
      <x:c r="H15" s="23"/>
      <x:c r="I15" s="23"/>
      <x:c r="J15" s="25" t="n">
        <x:f>'Source data'!L111</x:f>
        <x:v>602922</x:v>
      </x:c>
      <x:c r="K15" s="23"/>
      <x:c r="L15" s="23"/>
      <x:c r="M15" s="23"/>
      <x:c r="N15" s="25" t="n">
        <x:f>'Source data'!L112</x:f>
        <x:v>394428</x:v>
      </x:c>
      <x:c r="O15" s="23"/>
      <x:c r="P15" s="23"/>
      <x:c r="Q15" s="23"/>
      <x:c r="R15" s="25" t="str">
        <x:f>'Source data'!L113</x:f>
      </x:c>
      <x:c r="S15" s="23"/>
      <x:c r="T15" s="23"/>
      <x:c r="U15" s="23"/>
      <x:c r="V15" s="25" t="str">
        <x:f>'Source data'!L114</x:f>
      </x:c>
      <x:c r="W15" s="23"/>
      <x:c r="X15" s="23"/>
      <x:c r="Y15" s="23"/>
      <x:c r="Z15" s="25" t="n">
        <x:f>'Source data'!L116</x:f>
        <x:v>35486</x:v>
      </x:c>
      <x:c r="AA15" s="23"/>
      <x:c r="AB15" s="23"/>
      <x:c r="AC15" s="23"/>
      <x:c r="AD15" s="25" t="n">
        <x:f>'Source data'!L117</x:f>
        <x:v>196335</x:v>
      </x:c>
      <x:c r="AE15" s="23"/>
      <x:c r="AF15" s="23"/>
      <x:c r="AG15" s="27" t="n">
        <x:f>'Source data'!L110</x:f>
        <x:v>1229172</x:v>
      </x:c>
      <x:c r="AH15" s="23"/>
      <x:c r="AI15" s="23"/>
      <x:c r="AJ15" s="23" t="str">
        <x:v>IFP</x:v>
      </x:c>
      <x:c r="AK15" s="23" t="n">
        <x:f>IF(ISNUMBER(AG15),RANK(AG15,$AG$2:$AG$17,0),"")</x:f>
        <x:v>14</x:v>
      </x:c>
      <x:c r="AL15" s="23"/>
      <x:c r="AM15" s="25" t="str">
        <x:f>'Source data'!L115</x:f>
      </x:c>
      <x:c r="AN15" s="26" t="d">
        <x:v>2025-12-31T12:00:00.000Z</x:v>
      </x:c>
      <x:c r="AO15" s="24" t="str">
        <x:v>Verified total; component review required</x:v>
      </x:c>
    </x:row>
    <x:row r="16" ht="36" customHeight="1">
      <x:c r="A16" s="23" t="str">
        <x:v>Andrew L.</x:v>
      </x:c>
      <x:c r="B16" s="23" t="str">
        <x:v>Horahan</x:v>
      </x:c>
      <x:c r="C16" s="23"/>
      <x:c r="D16" s="23"/>
      <x:c r="E16" s="23" t="str">
        <x:v>Interfor Corporation</x:v>
      </x:c>
      <x:c r="F16" s="24" t="str">
        <x:v>executive vice president &amp; chief operating officer</x:v>
      </x:c>
      <x:c r="G16" s="23"/>
      <x:c r="H16" s="23"/>
      <x:c r="I16" s="23"/>
      <x:c r="J16" s="25" t="n">
        <x:f>'Source data'!L119</x:f>
        <x:v>492453</x:v>
      </x:c>
      <x:c r="K16" s="23"/>
      <x:c r="L16" s="23"/>
      <x:c r="M16" s="23"/>
      <x:c r="N16" s="25" t="n">
        <x:f>'Source data'!L120</x:f>
        <x:v>554662</x:v>
      </x:c>
      <x:c r="O16" s="23"/>
      <x:c r="P16" s="23"/>
      <x:c r="Q16" s="23"/>
      <x:c r="R16" s="25" t="str">
        <x:f>'Source data'!L121</x:f>
      </x:c>
      <x:c r="S16" s="23"/>
      <x:c r="T16" s="23"/>
      <x:c r="U16" s="23"/>
      <x:c r="V16" s="25" t="str">
        <x:f>'Source data'!L122</x:f>
      </x:c>
      <x:c r="W16" s="23"/>
      <x:c r="X16" s="23"/>
      <x:c r="Y16" s="23"/>
      <x:c r="Z16" s="25" t="n">
        <x:f>'Source data'!L124</x:f>
        <x:v>35793</x:v>
      </x:c>
      <x:c r="AA16" s="23"/>
      <x:c r="AB16" s="23"/>
      <x:c r="AC16" s="23"/>
      <x:c r="AD16" s="25" t="n">
        <x:f>'Source data'!L125</x:f>
        <x:v>92812</x:v>
      </x:c>
      <x:c r="AE16" s="23"/>
      <x:c r="AF16" s="23"/>
      <x:c r="AG16" s="27" t="n">
        <x:f>'Source data'!L118</x:f>
        <x:v>1175720</x:v>
      </x:c>
      <x:c r="AH16" s="23"/>
      <x:c r="AI16" s="23"/>
      <x:c r="AJ16" s="23" t="str">
        <x:v>IFP</x:v>
      </x:c>
      <x:c r="AK16" s="23" t="n">
        <x:f>IF(ISNUMBER(AG16),RANK(AG16,$AG$2:$AG$17,0),"")</x:f>
        <x:v>15</x:v>
      </x:c>
      <x:c r="AL16" s="23"/>
      <x:c r="AM16" s="25" t="str">
        <x:f>'Source data'!L123</x:f>
      </x:c>
      <x:c r="AN16" s="26" t="d">
        <x:v>2025-12-31T12:00:00.000Z</x:v>
      </x:c>
      <x:c r="AO16" s="24" t="str">
        <x:v>Verified total; component review required</x:v>
      </x:c>
    </x:row>
    <x:row r="17" ht="36" customHeight="1">
      <x:c r="A17" s="23" t="str">
        <x:v>Michael C.</x:v>
      </x:c>
      <x:c r="B17" s="23" t="str">
        <x:v>Mackay</x:v>
      </x:c>
      <x:c r="C17" s="23"/>
      <x:c r="D17" s="23"/>
      <x:c r="E17" s="23" t="str">
        <x:v>Interfor Corporation</x:v>
      </x:c>
      <x:c r="F17" s="24" t="str">
        <x:v>executive vice president &amp; chief financial officer</x:v>
      </x:c>
      <x:c r="G17" s="23"/>
      <x:c r="H17" s="23"/>
      <x:c r="I17" s="23"/>
      <x:c r="J17" s="25" t="n">
        <x:f>'Source data'!L127</x:f>
        <x:v>384407</x:v>
      </x:c>
      <x:c r="K17" s="23"/>
      <x:c r="L17" s="23"/>
      <x:c r="M17" s="23"/>
      <x:c r="N17" s="25" t="n">
        <x:f>'Source data'!L128</x:f>
        <x:v>266666</x:v>
      </x:c>
      <x:c r="O17" s="23"/>
      <x:c r="P17" s="23"/>
      <x:c r="Q17" s="23"/>
      <x:c r="R17" s="25" t="str">
        <x:f>'Source data'!L129</x:f>
      </x:c>
      <x:c r="S17" s="23"/>
      <x:c r="T17" s="23"/>
      <x:c r="U17" s="23"/>
      <x:c r="V17" s="25" t="str">
        <x:f>'Source data'!L130</x:f>
      </x:c>
      <x:c r="W17" s="23"/>
      <x:c r="X17" s="23"/>
      <x:c r="Y17" s="23"/>
      <x:c r="Z17" s="25" t="n">
        <x:f>'Source data'!L132</x:f>
        <x:v>20667</x:v>
      </x:c>
      <x:c r="AA17" s="23"/>
      <x:c r="AB17" s="23"/>
      <x:c r="AC17" s="23"/>
      <x:c r="AD17" s="25" t="n">
        <x:f>'Source data'!L133</x:f>
        <x:v>64130</x:v>
      </x:c>
      <x:c r="AE17" s="23"/>
      <x:c r="AF17" s="23"/>
      <x:c r="AG17" s="27" t="n">
        <x:f>'Source data'!L126</x:f>
        <x:v>735870</x:v>
      </x:c>
      <x:c r="AH17" s="23"/>
      <x:c r="AI17" s="23"/>
      <x:c r="AJ17" s="23" t="str">
        <x:v>IFP</x:v>
      </x:c>
      <x:c r="AK17" s="23" t="n">
        <x:f>IF(ISNUMBER(AG17),RANK(AG17,$AG$2:$AG$17,0),"")</x:f>
        <x:v>16</x:v>
      </x:c>
      <x:c r="AL17" s="23"/>
      <x:c r="AM17" s="25" t="str">
        <x:f>'Source data'!L131</x:f>
      </x:c>
      <x:c r="AN17" s="26" t="d">
        <x:v>2025-12-31T12:00:00.000Z</x:v>
      </x:c>
      <x:c r="AO17" s="24" t="str">
        <x:v>Verified total; component review required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6" hidden="0" customWidth="1"/>
    <x:col min="4" max="4" width="14" hidden="0" customWidth="1"/>
    <x:col min="5" max="5" width="22" hidden="0" customWidth="1"/>
    <x:col min="6" max="6" width="42" hidden="0" customWidth="1"/>
    <x:col min="7" max="7" width="22" hidden="0" customWidth="1"/>
    <x:col min="8" max="8" width="20" hidden="0" customWidth="1"/>
    <x:col min="9" max="9" width="12" hidden="0" customWidth="1"/>
    <x:col min="10" max="10" width="18" hidden="0" customWidth="1"/>
    <x:col min="11" max="11" width="16" hidden="0" customWidth="1"/>
    <x:col min="12" max="12" width="22" hidden="0" customWidth="1"/>
    <x:col min="13" max="13" width="20" hidden="0" customWidth="1"/>
    <x:col min="14" max="14" width="19" hidden="0" customWidth="1"/>
    <x:col min="15" max="15" width="18" hidden="0" customWidth="1"/>
    <x:col min="16" max="16" width="85" hidden="0" customWidth="1"/>
    <x:col min="17" max="17" width="16" hidden="0" customWidth="1"/>
    <x:col min="18" max="18" width="40" hidden="0" customWidth="1"/>
    <x:col min="19" max="19" width="18" hidden="0" customWidth="1"/>
    <x:col min="20" max="20" width="40" hidden="0" customWidth="1"/>
    <x:col min="21" max="21" width="100" hidden="0" customWidth="1"/>
    <x:col min="22" max="22" width="72" hidden="0" customWidth="1"/>
    <x:col min="23" max="23" width="100" hidden="0" customWidth="1"/>
    <x:col min="24" max="24" width="100" hidden="0" customWidth="1"/>
    <x:col min="25" max="25" width="70" hidden="0" customWidth="1"/>
    <x:col min="27" max="27" width="25" hidden="0" customWidth="1"/>
    <x:col min="28" max="28" width="16" hidden="0" customWidth="1"/>
    <x:col min="29" max="29" width="16" hidden="0" customWidth="1"/>
    <x:col min="30" max="30" width="1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5" customHeight="1">
      <x:c r="A2" s="3" t="str">
        <x:v>Original figures and conversion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5" customHeight="1">
      <x:c r="A3" s="4" t="str">
        <x:v>CAD = original amount × source multiplier × FX to CAD. Exact page text and footnotes begin at AA5.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5" customHeight="1">
      <x:c r="A4" s="2" t="str">
        <x:v>Bank of Canada 2025 annual average: 1.3978 CAD per USD. Missing amounts display blank; reasons remain in this sheet.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2" customHeight="1">
      <x:c r="A5" s="8" t="str">
        <x:v>Record ID</x:v>
      </x:c>
      <x:c r="B5" s="8" t="str">
        <x:v>Company</x:v>
      </x:c>
      <x:c r="C5" s="8" t="str">
        <x:v>Executive</x:v>
      </x:c>
      <x:c r="D5" s="8" t="str">
        <x:v>Fiscal end</x:v>
      </x:c>
      <x:c r="E5" s="8" t="str">
        <x:v>Field</x:v>
      </x:c>
      <x:c r="F5" s="8" t="str">
        <x:v>Exact source label</x:v>
      </x:c>
      <x:c r="G5" s="8" t="str">
        <x:v>Original cell</x:v>
      </x:c>
      <x:c r="H5" s="8" t="str">
        <x:v>Original amount</x:v>
      </x:c>
      <x:c r="I5" s="8" t="str">
        <x:v>Currency</x:v>
      </x:c>
      <x:c r="J5" s="8" t="str">
        <x:v>Source multiplier</x:v>
      </x:c>
      <x:c r="K5" s="8" t="str">
        <x:v>FX to CAD</x:v>
      </x:c>
      <x:c r="L5" s="8" t="str">
        <x:v>Full-dollar CAD</x:v>
      </x:c>
      <x:c r="M5" s="8" t="str">
        <x:v>Source meaning</x:v>
      </x:c>
      <x:c r="N5" s="8" t="str">
        <x:v>Converted from USD</x:v>
      </x:c>
      <x:c r="O5" s="8" t="str">
        <x:v>FX annual-average year</x:v>
      </x:c>
      <x:c r="P5" s="8" t="str">
        <x:v>Official rate URL</x:v>
      </x:c>
      <x:c r="Q5" s="8" t="str">
        <x:v>Document date</x:v>
      </x:c>
      <x:c r="R5" s="8" t="str">
        <x:v>Table heading</x:v>
      </x:c>
      <x:c r="S5" s="8" t="str">
        <x:v>PDF page / HTML locator</x:v>
      </x:c>
      <x:c r="T5" s="8" t="str">
        <x:v>Filename</x:v>
      </x:c>
      <x:c r="U5" s="8" t="str">
        <x:v>Document URL</x:v>
      </x:c>
      <x:c r="V5" s="8" t="str">
        <x:v>SHA256</x:v>
      </x:c>
      <x:c r="W5" s="8" t="str">
        <x:v>Footnote reference</x:v>
      </x:c>
      <x:c r="X5" s="8" t="str">
        <x:v>Mapping explanation</x:v>
      </x:c>
      <x:c r="Y5" s="8" t="str">
        <x:v>Review reason</x:v>
      </x:c>
      <x:c r="Z5" s="2"/>
      <x:c r="AA5" s="8" t="str">
        <x:v>Source ID</x:v>
      </x:c>
      <x:c r="AB5" s="8" t="str">
        <x:v>PDF page</x:v>
      </x:c>
      <x:c r="AC5" s="8" t="str">
        <x:v>Line in extract</x:v>
      </x:c>
      <x:c r="AD5" s="8" t="str">
        <x:v>Exact source text, including footnotes</x:v>
      </x:c>
    </x:row>
    <x:row r="6" ht="48" customHeight="1">
      <x:c r="A6" s="2" t="str">
        <x:v>bd4e1f348cf0d15b0d51</x:v>
      </x:c>
      <x:c r="B6" s="2" t="str">
        <x:v>Methanex Corporation</x:v>
      </x:c>
      <x:c r="C6" s="2" t="str">
        <x:v>Rich Sumner</x:v>
      </x:c>
      <x:c r="D6" s="16" t="d">
        <x:v>2025-12-31T12:00:00.000Z</x:v>
      </x:c>
      <x:c r="E6" s="2" t="str">
        <x:v>total</x:v>
      </x:c>
      <x:c r="F6" s="15" t="str">
        <x:v>Total Compensation</x:v>
      </x:c>
      <x:c r="G6" s="2" t="str">
        <x:v>8,861,734</x:v>
      </x:c>
      <x:c r="H6" s="12" t="n">
        <x:v>8861734</x:v>
      </x:c>
      <x:c r="I6" s="13" t="str">
        <x:v>CAD</x:v>
      </x:c>
      <x:c r="J6" s="13" t="n">
        <x:v>1</x:v>
      </x:c>
      <x:c r="K6" s="14" t="n">
        <x:v>1</x:v>
      </x:c>
      <x:c r="L6" s="10" t="n">
        <x:f>IF(AND(ISNUMBER(H6),ISNUMBER(J6),ISNUMBER(K6)),H6*J6*K6,"")</x:f>
        <x:v>8861734</x:v>
      </x:c>
      <x:c r="M6" s="2" t="str">
        <x:v>reported</x:v>
      </x:c>
      <x:c r="N6" s="2" t="str">
        <x:v>No</x:v>
      </x:c>
      <x:c r="O6" s="17"/>
      <x:c r="P6" s="15" t="str"/>
      <x:c r="Q6" s="16" t="d">
        <x:v>2026-03-09T12:00:00.000Z</x:v>
      </x:c>
      <x:c r="R6" s="15" t="str">
        <x:v>Summary Compensation Table</x:v>
      </x:c>
      <x:c r="S6" s="2" t="n">
        <x:v>89</x:v>
      </x:c>
      <x:c r="T6" s="15" t="str">
        <x:v>methanex_circular.pdf</x:v>
      </x:c>
      <x:c r="U6" s="15" t="str">
        <x:v>https://www.methanex.com/wp-content/uploads/2026-Information-Circular.pdf</x:v>
      </x:c>
      <x:c r="V6" s="15" t="str">
        <x:v>52a00ac52176b80ff10264bb3579ff939ece4db1c590d62a2843d5bf6729e6ce</x:v>
      </x:c>
      <x:c r="W6" s="15" t="str">
        <x:v>PDF pp.89-90, SCT notes (1)-(7). Grant-date awards retained; issuer-translated CAD values retained. Annual incentive earned in year, not payment year.</x:v>
      </x:c>
      <x:c r="X6" s="15" t="str">
        <x:v>Reported table value; no award revaluation or reconstruction.</x:v>
      </x:c>
      <x:c r="Y6" s="15" t="str"/>
      <x:c r="Z6" s="2"/>
      <x:c r="AA6" s="2" t="str">
        <x:v>interfor</x:v>
      </x:c>
      <x:c r="AB6" s="2" t="n">
        <x:v>5</x:v>
      </x:c>
      <x:c r="AC6" s="2" t="n">
        <x:v>1</x:v>
      </x:c>
      <x:c r="AD6" s="15" t="str">
        <x:v>MANAGEMENT INFORMATION CIRCULAR</x:v>
      </x:c>
    </x:row>
    <x:row r="7" ht="48" customHeight="1">
      <x:c r="A7" s="2" t="str">
        <x:v>bd4e1f348cf0d15b0d51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" t="str">
        <x:v>salary</x:v>
      </x:c>
      <x:c r="F7" s="15" t="str">
        <x:v>Base Salary(2)</x:v>
      </x:c>
      <x:c r="G7" s="2" t="str">
        <x:v>1,212,500</x:v>
      </x:c>
      <x:c r="H7" s="12" t="n">
        <x:v>1212500</x:v>
      </x:c>
      <x:c r="I7" s="13" t="str">
        <x:v>CAD</x:v>
      </x:c>
      <x:c r="J7" s="13" t="n">
        <x:v>1</x:v>
      </x:c>
      <x:c r="K7" s="14" t="n">
        <x:v>1</x:v>
      </x:c>
      <x:c r="L7" s="10" t="n">
        <x:f>IF(AND(ISNUMBER(H7),ISNUMBER(J7),ISNUMBER(K7)),H7*J7*K7,"")</x:f>
        <x:v>1212500</x:v>
      </x:c>
      <x:c r="M7" s="2" t="str">
        <x:v>reported</x:v>
      </x:c>
      <x:c r="N7" s="2" t="str">
        <x:v>No</x:v>
      </x:c>
      <x:c r="O7" s="17"/>
      <x:c r="P7" s="15" t="str"/>
      <x:c r="Q7" s="16" t="d">
        <x:v>2026-03-09T12:00:00.000Z</x:v>
      </x:c>
      <x:c r="R7" s="15" t="str">
        <x:v>Summary Compensation Table</x:v>
      </x:c>
      <x:c r="S7" s="2" t="n">
        <x:v>89</x:v>
      </x:c>
      <x:c r="T7" s="15" t="str">
        <x:v>methanex_circular.pdf</x:v>
      </x:c>
      <x:c r="U7" s="15" t="str">
        <x:v>https://www.methanex.com/wp-content/uploads/2026-Information-Circular.pdf</x:v>
      </x:c>
      <x:c r="V7" s="15" t="str">
        <x:v>52a00ac52176b80ff10264bb3579ff939ece4db1c590d62a2843d5bf6729e6ce</x:v>
      </x:c>
      <x:c r="W7" s="15" t="str">
        <x:v>PDF pp.89-90, SCT notes (1)-(7). Grant-date awards retained; issuer-translated CAD values retained. Annual incentive earned in year, not payment year.</x:v>
      </x:c>
      <x:c r="X7" s="15" t="str">
        <x:v>Reported table value; no award revaluation or reconstruction.</x:v>
      </x:c>
      <x:c r="Y7" s="15" t="str"/>
      <x:c r="Z7" s="2"/>
      <x:c r="AA7" s="2" t="str">
        <x:v>interfor</x:v>
      </x:c>
      <x:c r="AB7" s="2" t="n">
        <x:v>5</x:v>
      </x:c>
      <x:c r="AC7" s="2" t="n">
        <x:v>2</x:v>
      </x:c>
      <x:c r="AD7" s="15" t="str">
        <x:v>You have received this Information Circular because you owned Shares on March 17, 2026,</x:v>
      </x:c>
    </x:row>
    <x:row r="8" ht="48" customHeight="1">
      <x:c r="A8" s="2" t="str">
        <x:v>bd4e1f348cf0d15b0d51</x:v>
      </x:c>
      <x:c r="B8" s="2" t="str">
        <x:v>Methanex Corporation</x:v>
      </x:c>
      <x:c r="C8" s="2" t="str">
        <x:v>Rich Sumner</x:v>
      </x:c>
      <x:c r="D8" s="16" t="d">
        <x:v>2025-12-31T12:00:00.000Z</x:v>
      </x:c>
      <x:c r="E8" s="2" t="str">
        <x:v>share_awards</x:v>
      </x:c>
      <x:c r="F8" s="15" t="str">
        <x:v>Share-Based Awards(3)</x:v>
      </x:c>
      <x:c r="G8" s="2" t="str">
        <x:v>2,613,160</x:v>
      </x:c>
      <x:c r="H8" s="12" t="n">
        <x:v>2613160</x:v>
      </x:c>
      <x:c r="I8" s="13" t="str">
        <x:v>CAD</x:v>
      </x:c>
      <x:c r="J8" s="13" t="n">
        <x:v>1</x:v>
      </x:c>
      <x:c r="K8" s="14" t="n">
        <x:v>1</x:v>
      </x:c>
      <x:c r="L8" s="10" t="n">
        <x:f>IF(AND(ISNUMBER(H8),ISNUMBER(J8),ISNUMBER(K8)),H8*J8*K8,"")</x:f>
        <x:v>2613160</x:v>
      </x:c>
      <x:c r="M8" s="2" t="str">
        <x:v>reported</x:v>
      </x:c>
      <x:c r="N8" s="2" t="str">
        <x:v>No</x:v>
      </x:c>
      <x:c r="O8" s="17"/>
      <x:c r="P8" s="15" t="str"/>
      <x:c r="Q8" s="16" t="d">
        <x:v>2026-03-09T12:00:00.000Z</x:v>
      </x:c>
      <x:c r="R8" s="15" t="str">
        <x:v>Summary Compensation Table</x:v>
      </x:c>
      <x:c r="S8" s="2" t="n">
        <x:v>89</x:v>
      </x:c>
      <x:c r="T8" s="15" t="str">
        <x:v>methanex_circular.pdf</x:v>
      </x:c>
      <x:c r="U8" s="15" t="str">
        <x:v>https://www.methanex.com/wp-content/uploads/2026-Information-Circular.pdf</x:v>
      </x:c>
      <x:c r="V8" s="15" t="str">
        <x:v>52a00ac52176b80ff10264bb3579ff939ece4db1c590d62a2843d5bf6729e6ce</x:v>
      </x:c>
      <x:c r="W8" s="15" t="str">
        <x:v>PDF pp.89-90, SCT notes (1)-(7). Grant-date awards retained; issuer-translated CAD values retained. Annual incentive earned in year, not payment year.</x:v>
      </x:c>
      <x:c r="X8" s="15" t="str">
        <x:v>Reported table value; no award revaluation or reconstruction.</x:v>
      </x:c>
      <x:c r="Y8" s="15" t="str"/>
      <x:c r="Z8" s="2"/>
      <x:c r="AA8" s="2" t="str">
        <x:v>interfor</x:v>
      </x:c>
      <x:c r="AB8" s="2" t="n">
        <x:v>5</x:v>
      </x:c>
      <x:c r="AC8" s="2" t="n">
        <x:v>3</x:v>
      </x:c>
      <x:c r="AD8" s="15" t="str">
        <x:v>and Interfor’s management is soliciting your proxy for the upcoming annual general meeting</x:v>
      </x:c>
    </x:row>
    <x:row r="9" ht="48" customHeight="1">
      <x:c r="A9" s="2" t="str">
        <x:v>bd4e1f348cf0d15b0d51</x:v>
      </x:c>
      <x:c r="B9" s="2" t="str">
        <x:v>Methanex Corporation</x:v>
      </x:c>
      <x:c r="C9" s="2" t="str">
        <x:v>Rich Sumner</x:v>
      </x:c>
      <x:c r="D9" s="16" t="d">
        <x:v>2025-12-31T12:00:00.000Z</x:v>
      </x:c>
      <x:c r="E9" s="2" t="str">
        <x:v>option_awards</x:v>
      </x:c>
      <x:c r="F9" s="15" t="str">
        <x:v>Option-Based Awards(4)</x:v>
      </x:c>
      <x:c r="G9" s="2" t="str">
        <x:v>2,610,902</x:v>
      </x:c>
      <x:c r="H9" s="12" t="n">
        <x:v>2610902</x:v>
      </x:c>
      <x:c r="I9" s="13" t="str">
        <x:v>CAD</x:v>
      </x:c>
      <x:c r="J9" s="13" t="n">
        <x:v>1</x:v>
      </x:c>
      <x:c r="K9" s="14" t="n">
        <x:v>1</x:v>
      </x:c>
      <x:c r="L9" s="10" t="n">
        <x:f>IF(AND(ISNUMBER(H9),ISNUMBER(J9),ISNUMBER(K9)),H9*J9*K9,"")</x:f>
        <x:v>2610902</x:v>
      </x:c>
      <x:c r="M9" s="2" t="str">
        <x:v>reported</x:v>
      </x:c>
      <x:c r="N9" s="2" t="str">
        <x:v>No</x:v>
      </x:c>
      <x:c r="O9" s="17"/>
      <x:c r="P9" s="15" t="str"/>
      <x:c r="Q9" s="16" t="d">
        <x:v>2026-03-09T12:00:00.000Z</x:v>
      </x:c>
      <x:c r="R9" s="15" t="str">
        <x:v>Summary Compensation Table</x:v>
      </x:c>
      <x:c r="S9" s="2" t="n">
        <x:v>89</x:v>
      </x:c>
      <x:c r="T9" s="15" t="str">
        <x:v>methanex_circular.pdf</x:v>
      </x:c>
      <x:c r="U9" s="15" t="str">
        <x:v>https://www.methanex.com/wp-content/uploads/2026-Information-Circular.pdf</x:v>
      </x:c>
      <x:c r="V9" s="15" t="str">
        <x:v>52a00ac52176b80ff10264bb3579ff939ece4db1c590d62a2843d5bf6729e6ce</x:v>
      </x:c>
      <x:c r="W9" s="15" t="str">
        <x:v>PDF pp.89-90, SCT notes (1)-(7). Grant-date awards retained; issuer-translated CAD values retained. Annual incentive earned in year, not payment year.</x:v>
      </x:c>
      <x:c r="X9" s="15" t="str">
        <x:v>Reported table value; no award revaluation or reconstruction.</x:v>
      </x:c>
      <x:c r="Y9" s="15" t="str"/>
      <x:c r="Z9" s="2"/>
      <x:c r="AA9" s="2" t="str">
        <x:v>interfor</x:v>
      </x:c>
      <x:c r="AB9" s="2" t="n">
        <x:v>5</x:v>
      </x:c>
      <x:c r="AC9" s="2" t="n">
        <x:v>4</x:v>
      </x:c>
      <x:c r="AD9" s="15" t="str">
        <x:v>on May 14, 2026.</x:v>
      </x:c>
    </x:row>
    <x:row r="10" ht="48" customHeight="1">
      <x:c r="A10" s="2" t="str">
        <x:v>bd4e1f348cf0d15b0d51</x:v>
      </x:c>
      <x:c r="B10" s="2" t="str">
        <x:v>Methanex Corporation</x:v>
      </x:c>
      <x:c r="C10" s="2" t="str">
        <x:v>Rich Sumner</x:v>
      </x:c>
      <x:c r="D10" s="16" t="d">
        <x:v>2025-12-31T12:00:00.000Z</x:v>
      </x:c>
      <x:c r="E10" s="2" t="str">
        <x:v>annual_incentive</x:v>
      </x:c>
      <x:c r="F10" s="15" t="str">
        <x:v>Non-Equity Incentive Plan Compensation - Annual Incentive Plans(5)</x:v>
      </x:c>
      <x:c r="G10" s="2" t="str">
        <x:v>1,985,000</x:v>
      </x:c>
      <x:c r="H10" s="12" t="n">
        <x:v>1985000</x:v>
      </x:c>
      <x:c r="I10" s="13" t="str">
        <x:v>CAD</x:v>
      </x:c>
      <x:c r="J10" s="13" t="n">
        <x:v>1</x:v>
      </x:c>
      <x:c r="K10" s="14" t="n">
        <x:v>1</x:v>
      </x:c>
      <x:c r="L10" s="10" t="n">
        <x:f>IF(AND(ISNUMBER(H10),ISNUMBER(J10),ISNUMBER(K10)),H10*J10*K10,"")</x:f>
        <x:v>1985000</x:v>
      </x:c>
      <x:c r="M10" s="2" t="str">
        <x:v>reported</x:v>
      </x:c>
      <x:c r="N10" s="2" t="str">
        <x:v>No</x:v>
      </x:c>
      <x:c r="O10" s="17"/>
      <x:c r="P10" s="15" t="str"/>
      <x:c r="Q10" s="16" t="d">
        <x:v>2026-03-09T12:00:00.000Z</x:v>
      </x:c>
      <x:c r="R10" s="15" t="str">
        <x:v>Summary Compensation Table</x:v>
      </x:c>
      <x:c r="S10" s="2" t="n">
        <x:v>89</x:v>
      </x:c>
      <x:c r="T10" s="15" t="str">
        <x:v>methanex_circular.pdf</x:v>
      </x:c>
      <x:c r="U10" s="15" t="str">
        <x:v>https://www.methanex.com/wp-content/uploads/2026-Information-Circular.pdf</x:v>
      </x:c>
      <x:c r="V10" s="15" t="str">
        <x:v>52a00ac52176b80ff10264bb3579ff939ece4db1c590d62a2843d5bf6729e6ce</x:v>
      </x:c>
      <x:c r="W10" s="15" t="str">
        <x:v>PDF pp.89-90, SCT notes (1)-(7). Grant-date awards retained; issuer-translated CAD values retained. Annual incentive earned in year, not payment year.</x:v>
      </x:c>
      <x:c r="X10" s="15" t="str">
        <x:v>Annual short-term incentive heading; direct mapping, no long-term amounts combined.</x:v>
      </x:c>
      <x:c r="Y10" s="15" t="str"/>
      <x:c r="Z10" s="2"/>
      <x:c r="AA10" s="2" t="str">
        <x:v>interfor</x:v>
      </x:c>
      <x:c r="AB10" s="2" t="n">
        <x:v>5</x:v>
      </x:c>
      <x:c r="AC10" s="2" t="n">
        <x:v>5</x:v>
      </x:c>
      <x:c r="AD10" s="15" t="str">
        <x:v>We are contacting Shareholders primarily using a “notice and access” procedure under</x:v>
      </x:c>
    </x:row>
    <x:row r="11" ht="48" customHeight="1">
      <x:c r="A11" s="2" t="str">
        <x:v>bd4e1f348cf0d15b0d51</x:v>
      </x:c>
      <x:c r="B11" s="2" t="str">
        <x:v>Methanex Corporation</x:v>
      </x:c>
      <x:c r="C11" s="2" t="str">
        <x:v>Rich Sumner</x:v>
      </x:c>
      <x:c r="D11" s="16" t="d">
        <x:v>2025-12-31T12:00:00.000Z</x:v>
      </x:c>
      <x:c r="E11" s="2" t="str">
        <x:v>long_term_incentive</x:v>
      </x:c>
      <x:c r="F11" s="15" t="str">
        <x:v>Non-Equity Incentive Plan Compensation - Long-Term Incentive Plans</x:v>
      </x:c>
      <x:c r="G11" s="2" t="str">
        <x:v>—</x:v>
      </x:c>
      <x:c r="H11" s="12"/>
      <x:c r="I11" s="13" t="str">
        <x:v>CAD</x:v>
      </x:c>
      <x:c r="J11" s="13" t="n">
        <x:v>1</x:v>
      </x:c>
      <x:c r="K11" s="14"/>
      <x:c r="L11" s="10" t="str">
        <x:f>IF(AND(ISNUMBER(H11),ISNUMBER(J11),ISNUMBER(K11)),H11*J11*K11,"")</x:f>
      </x:c>
      <x:c r="M11" s="2" t="str">
        <x:v>uncertain</x:v>
      </x:c>
      <x:c r="N11" s="2" t="str">
        <x:v>No</x:v>
      </x:c>
      <x:c r="O11" s="17"/>
      <x:c r="P11" s="15" t="str"/>
      <x:c r="Q11" s="16" t="d">
        <x:v>2026-03-09T12:00:00.000Z</x:v>
      </x:c>
      <x:c r="R11" s="15" t="str">
        <x:v>Summary Compensation Table</x:v>
      </x:c>
      <x:c r="S11" s="2" t="n">
        <x:v>89</x:v>
      </x:c>
      <x:c r="T11" s="15" t="str">
        <x:v>methanex_circular.pdf</x:v>
      </x:c>
      <x:c r="U11" s="15" t="str">
        <x:v>https://www.methanex.com/wp-content/uploads/2026-Information-Circular.pdf</x:v>
      </x:c>
      <x:c r="V11" s="15" t="str">
        <x:v>52a00ac52176b80ff10264bb3579ff939ece4db1c590d62a2843d5bf6729e6ce</x:v>
      </x:c>
      <x:c r="W11" s="15" t="str">
        <x:v>PDF pp.89-90, SCT notes (1)-(7). Grant-date awards retained; issuer-translated CAD values retained. Annual incentive earned in year, not payment year.</x:v>
      </x:c>
      <x:c r="X11" s="15" t="str">
        <x:v>Reported table value; no award revaluation or reconstruction.</x:v>
      </x:c>
      <x:c r="Y11" s="15" t="str">
        <x:v>Source dash has no verified numeric meaning</x:v>
      </x:c>
      <x:c r="Z11" s="2"/>
      <x:c r="AA11" s="2" t="str">
        <x:v>interfor</x:v>
      </x:c>
      <x:c r="AB11" s="2" t="n">
        <x:v>5</x:v>
      </x:c>
      <x:c r="AC11" s="2" t="n">
        <x:v>6</x:v>
      </x:c>
      <x:c r="AD11" s="15" t="str">
        <x:v>Canadian securities rules. The Company is paying for the cost of soliciting your proxy. Our</x:v>
      </x:c>
    </x:row>
    <x:row r="12" ht="48" customHeight="1">
      <x:c r="A12" s="2" t="str">
        <x:v>bd4e1f348cf0d15b0d51</x:v>
      </x:c>
      <x:c r="B12" s="2" t="str">
        <x:v>Methanex Corporation</x:v>
      </x:c>
      <x:c r="C12" s="2" t="str">
        <x:v>Rich Sumner</x:v>
      </x:c>
      <x:c r="D12" s="16" t="d">
        <x:v>2025-12-31T12:00:00.000Z</x:v>
      </x:c>
      <x:c r="E12" s="2" t="str">
        <x:v>pension</x:v>
      </x:c>
      <x:c r="F12" s="15" t="str">
        <x:v>Pension Value(6)</x:v>
      </x:c>
      <x:c r="G12" s="2" t="str">
        <x:v>300,094</x:v>
      </x:c>
      <x:c r="H12" s="12" t="n">
        <x:v>300094</x:v>
      </x:c>
      <x:c r="I12" s="13" t="str">
        <x:v>CAD</x:v>
      </x:c>
      <x:c r="J12" s="13" t="n">
        <x:v>1</x:v>
      </x:c>
      <x:c r="K12" s="14" t="n">
        <x:v>1</x:v>
      </x:c>
      <x:c r="L12" s="10" t="n">
        <x:f>IF(AND(ISNUMBER(H12),ISNUMBER(J12),ISNUMBER(K12)),H12*J12*K12,"")</x:f>
        <x:v>300094</x:v>
      </x:c>
      <x:c r="M12" s="2" t="str">
        <x:v>reported</x:v>
      </x:c>
      <x:c r="N12" s="2" t="str">
        <x:v>No</x:v>
      </x:c>
      <x:c r="O12" s="17"/>
      <x:c r="P12" s="15" t="str"/>
      <x:c r="Q12" s="16" t="d">
        <x:v>2026-03-09T12:00:00.000Z</x:v>
      </x:c>
      <x:c r="R12" s="15" t="str">
        <x:v>Summary Compensation Table</x:v>
      </x:c>
      <x:c r="S12" s="2" t="n">
        <x:v>89</x:v>
      </x:c>
      <x:c r="T12" s="15" t="str">
        <x:v>methanex_circular.pdf</x:v>
      </x:c>
      <x:c r="U12" s="15" t="str">
        <x:v>https://www.methanex.com/wp-content/uploads/2026-Information-Circular.pdf</x:v>
      </x:c>
      <x:c r="V12" s="15" t="str">
        <x:v>52a00ac52176b80ff10264bb3579ff939ece4db1c590d62a2843d5bf6729e6ce</x:v>
      </x:c>
      <x:c r="W12" s="15" t="str">
        <x:v>PDF pp.89-90, SCT notes (1)-(7). Grant-date awards retained; issuer-translated CAD values retained. Annual incentive earned in year, not payment year.</x:v>
      </x:c>
      <x:c r="X12" s="15" t="str">
        <x:v>Reported table value; no award revaluation or reconstruction.</x:v>
      </x:c>
      <x:c r="Y12" s="15" t="str"/>
      <x:c r="Z12" s="2"/>
      <x:c r="AA12" s="2" t="str">
        <x:v>interfor</x:v>
      </x:c>
      <x:c r="AB12" s="2" t="n">
        <x:v>5</x:v>
      </x:c>
      <x:c r="AC12" s="2" t="n">
        <x:v>7</x:v>
      </x:c>
      <x:c r="AD12" s="15" t="str">
        <x:v>Board has approved the contents of this Information Circular and has authorized us to</x:v>
      </x:c>
    </x:row>
    <x:row r="13" ht="48" customHeight="1">
      <x:c r="A13" s="2" t="str">
        <x:v>bd4e1f348cf0d15b0d51</x:v>
      </x:c>
      <x:c r="B13" s="2" t="str">
        <x:v>Methanex Corporation</x:v>
      </x:c>
      <x:c r="C13" s="2" t="str">
        <x:v>Rich Sumner</x:v>
      </x:c>
      <x:c r="D13" s="16" t="d">
        <x:v>2025-12-31T12:00:00.000Z</x:v>
      </x:c>
      <x:c r="E13" s="2" t="str">
        <x:v>other</x:v>
      </x:c>
      <x:c r="F13" s="15" t="str">
        <x:v>All Other Compensation(7)</x:v>
      </x:c>
      <x:c r="G13" s="2" t="str">
        <x:v>140,078</x:v>
      </x:c>
      <x:c r="H13" s="12" t="n">
        <x:v>140078</x:v>
      </x:c>
      <x:c r="I13" s="13" t="str">
        <x:v>CAD</x:v>
      </x:c>
      <x:c r="J13" s="13" t="n">
        <x:v>1</x:v>
      </x:c>
      <x:c r="K13" s="14" t="n">
        <x:v>1</x:v>
      </x:c>
      <x:c r="L13" s="10" t="n">
        <x:f>IF(AND(ISNUMBER(H13),ISNUMBER(J13),ISNUMBER(K13)),H13*J13*K13,"")</x:f>
        <x:v>140078</x:v>
      </x:c>
      <x:c r="M13" s="2" t="str">
        <x:v>reported</x:v>
      </x:c>
      <x:c r="N13" s="2" t="str">
        <x:v>No</x:v>
      </x:c>
      <x:c r="O13" s="17"/>
      <x:c r="P13" s="15" t="str"/>
      <x:c r="Q13" s="16" t="d">
        <x:v>2026-03-09T12:00:00.000Z</x:v>
      </x:c>
      <x:c r="R13" s="15" t="str">
        <x:v>Summary Compensation Table</x:v>
      </x:c>
      <x:c r="S13" s="2" t="n">
        <x:v>89</x:v>
      </x:c>
      <x:c r="T13" s="15" t="str">
        <x:v>methanex_circular.pdf</x:v>
      </x:c>
      <x:c r="U13" s="15" t="str">
        <x:v>https://www.methanex.com/wp-content/uploads/2026-Information-Circular.pdf</x:v>
      </x:c>
      <x:c r="V13" s="15" t="str">
        <x:v>52a00ac52176b80ff10264bb3579ff939ece4db1c590d62a2843d5bf6729e6ce</x:v>
      </x:c>
      <x:c r="W13" s="15" t="str">
        <x:v>PDF pp.89-90, SCT notes (1)-(7). Grant-date awards retained; issuer-translated CAD values retained. Annual incentive earned in year, not payment year.</x:v>
      </x:c>
      <x:c r="X13" s="15" t="str">
        <x:v>Reported table value; no award revaluation or reconstruction.</x:v>
      </x:c>
      <x:c r="Y13" s="15" t="str"/>
      <x:c r="Z13" s="2"/>
      <x:c r="AA13" s="2" t="str">
        <x:v>interfor</x:v>
      </x:c>
      <x:c r="AB13" s="2" t="n">
        <x:v>5</x:v>
      </x:c>
      <x:c r="AC13" s="2" t="n">
        <x:v>8</x:v>
      </x:c>
      <x:c r="AD13" s="15" t="str">
        <x:v>distribute it to Shareholders.</x:v>
      </x:c>
    </x:row>
    <x:row r="14" ht="48" customHeight="1">
      <x:c r="A14" s="2" t="str">
        <x:v>83b69dd400f3122c839c</x:v>
      </x:c>
      <x:c r="B14" s="2" t="str">
        <x:v>B2Gold Corp.</x:v>
      </x:c>
      <x:c r="C14" s="2" t="str">
        <x:v>Clive Johnson</x:v>
      </x:c>
      <x:c r="D14" s="16" t="d">
        <x:v>2025-12-31T12:00:00.000Z</x:v>
      </x:c>
      <x:c r="E14" s="2" t="str">
        <x:v>total</x:v>
      </x:c>
      <x:c r="F14" s="15" t="str">
        <x:v>Total Compensation ($)</x:v>
      </x:c>
      <x:c r="G14" s="2" t="str">
        <x:v>4,839,353</x:v>
      </x:c>
      <x:c r="H14" s="12" t="n">
        <x:v>4839353</x:v>
      </x:c>
      <x:c r="I14" s="13" t="str">
        <x:v>USD</x:v>
      </x:c>
      <x:c r="J14" s="13" t="n">
        <x:v>1</x:v>
      </x:c>
      <x:c r="K14" s="14" t="n">
        <x:v>1.3978</x:v>
      </x:c>
      <x:c r="L14" s="10" t="n">
        <x:f>IF(AND(ISNUMBER(H14),ISNUMBER(J14),ISNUMBER(K14)),H14*J14*K14,"")</x:f>
        <x:v>6764447.6234</x:v>
      </x:c>
      <x:c r="M14" s="2" t="str">
        <x:v>reported</x:v>
      </x:c>
      <x:c r="N14" s="2" t="str">
        <x:v>Yes</x:v>
      </x:c>
      <x:c r="O14" s="17" t="n">
        <x:v>2025</x:v>
      </x:c>
      <x:c r="P14" s="15" t="str">
        <x:v>https://www.bankofcanada.ca/rates/exchange/annual-average-exchange-rates/</x:v>
      </x:c>
      <x:c r="Q14" s="16" t="d">
        <x:v>2026-04-13T12:00:00.000Z</x:v>
      </x:c>
      <x:c r="R14" s="15" t="str">
        <x:v>Summary Compensation Table</x:v>
      </x:c>
      <x:c r="S14" s="2" t="n">
        <x:v>77</x:v>
      </x:c>
      <x:c r="T14" s="15" t="str">
        <x:v>b2gold_circular.pdf</x:v>
      </x:c>
      <x:c r="U14" s="15" t="str">
        <x:v>https://s204.q4cdn.com/324791784/files/doc_downloads/2026/04/B2Gold-MIC-FYE-December-31-2025.pdf</x:v>
      </x:c>
      <x:c r="V14" s="15" t="str">
        <x:v>000bcea1d986585b3d261c785a369eb49859de5dd24837b9d487723021a0214c</x:v>
      </x:c>
      <x:c r="W14" s="15" t="str">
        <x:v>PDF p.77, SCT notes (1)-(3); currency convention PDF p.19. Annual cash bonus paid March 2026 for services in FY2025. Share awards copied as reported.</x:v>
      </x:c>
      <x:c r="X14" s="15" t="str">
        <x:v>Reported table value; no award revaluation or reconstruction.</x:v>
      </x:c>
      <x:c r="Y14" s="15" t="str"/>
      <x:c r="Z14" s="2"/>
      <x:c r="AA14" s="2" t="str">
        <x:v>interfor</x:v>
      </x:c>
      <x:c r="AB14" s="2" t="n">
        <x:v>5</x:v>
      </x:c>
      <x:c r="AC14" s="2" t="n">
        <x:v>9</x:v>
      </x:c>
      <x:c r="AD14" s="15" t="str">
        <x:v>In this Information Circular:</x:v>
      </x:c>
    </x:row>
    <x:row r="15" ht="48" customHeight="1">
      <x:c r="A15" s="2" t="str">
        <x:v>83b69dd400f3122c839c</x:v>
      </x:c>
      <x:c r="B15" s="2" t="str">
        <x:v>B2Gold Corp.</x:v>
      </x:c>
      <x:c r="C15" s="2" t="str">
        <x:v>Clive Johnson</x:v>
      </x:c>
      <x:c r="D15" s="16" t="d">
        <x:v>2025-12-31T12:00:00.000Z</x:v>
      </x:c>
      <x:c r="E15" s="2" t="str">
        <x:v>salary</x:v>
      </x:c>
      <x:c r="F15" s="15" t="str">
        <x:v>Salary ($)</x:v>
      </x:c>
      <x:c r="G15" s="2" t="str">
        <x:v>949,000</x:v>
      </x:c>
      <x:c r="H15" s="12" t="n">
        <x:v>949000</x:v>
      </x:c>
      <x:c r="I15" s="13" t="str">
        <x:v>USD</x:v>
      </x:c>
      <x:c r="J15" s="13" t="n">
        <x:v>1</x:v>
      </x:c>
      <x:c r="K15" s="14" t="n">
        <x:v>1.3978</x:v>
      </x:c>
      <x:c r="L15" s="10" t="n">
        <x:f>IF(AND(ISNUMBER(H15),ISNUMBER(J15),ISNUMBER(K15)),H15*J15*K15,"")</x:f>
        <x:v>1326512.2</x:v>
      </x:c>
      <x:c r="M15" s="2" t="str">
        <x:v>reported</x:v>
      </x:c>
      <x:c r="N15" s="2" t="str">
        <x:v>Yes</x:v>
      </x:c>
      <x:c r="O15" s="17" t="n">
        <x:v>2025</x:v>
      </x:c>
      <x:c r="P15" s="15" t="str">
        <x:v>https://www.bankofcanada.ca/rates/exchange/annual-average-exchange-rates/</x:v>
      </x:c>
      <x:c r="Q15" s="16" t="d">
        <x:v>2026-04-13T12:00:00.000Z</x:v>
      </x:c>
      <x:c r="R15" s="15" t="str">
        <x:v>Summary Compensation Table</x:v>
      </x:c>
      <x:c r="S15" s="2" t="n">
        <x:v>77</x:v>
      </x:c>
      <x:c r="T15" s="15" t="str">
        <x:v>b2gold_circular.pdf</x:v>
      </x:c>
      <x:c r="U15" s="15" t="str">
        <x:v>https://s204.q4cdn.com/324791784/files/doc_downloads/2026/04/B2Gold-MIC-FYE-December-31-2025.pdf</x:v>
      </x:c>
      <x:c r="V15" s="15" t="str">
        <x:v>000bcea1d986585b3d261c785a369eb49859de5dd24837b9d487723021a0214c</x:v>
      </x:c>
      <x:c r="W15" s="15" t="str">
        <x:v>PDF p.77, SCT notes (1)-(3); currency convention PDF p.19. Annual cash bonus paid March 2026 for services in FY2025. Share awards copied as reported.</x:v>
      </x:c>
      <x:c r="X15" s="15" t="str">
        <x:v>Reported table value; no award revaluation or reconstruction.</x:v>
      </x:c>
      <x:c r="Y15" s="15" t="str"/>
      <x:c r="Z15" s="2"/>
      <x:c r="AA15" s="2" t="str">
        <x:v>interfor</x:v>
      </x:c>
      <x:c r="AB15" s="2" t="n">
        <x:v>5</x:v>
      </x:c>
      <x:c r="AC15" s="2" t="n">
        <x:v>10</x:v>
      </x:c>
      <x:c r="AD15" s="15" t="str">
        <x:v>• “you” and “your” mean Shareholders</x:v>
      </x:c>
    </x:row>
    <x:row r="16" ht="48" customHeight="1">
      <x:c r="A16" s="2" t="str">
        <x:v>83b69dd400f3122c839c</x:v>
      </x:c>
      <x:c r="B16" s="2" t="str">
        <x:v>B2Gold Corp.</x:v>
      </x:c>
      <x:c r="C16" s="2" t="str">
        <x:v>Clive Johnson</x:v>
      </x:c>
      <x:c r="D16" s="16" t="d">
        <x:v>2025-12-31T12:00:00.000Z</x:v>
      </x:c>
      <x:c r="E16" s="2" t="str">
        <x:v>share_awards</x:v>
      </x:c>
      <x:c r="F16" s="15" t="str">
        <x:v>Share-Based Awards ($)(1)</x:v>
      </x:c>
      <x:c r="G16" s="2" t="str">
        <x:v>2,729,835</x:v>
      </x:c>
      <x:c r="H16" s="12" t="n">
        <x:v>2729835</x:v>
      </x:c>
      <x:c r="I16" s="13" t="str">
        <x:v>USD</x:v>
      </x:c>
      <x:c r="J16" s="13" t="n">
        <x:v>1</x:v>
      </x:c>
      <x:c r="K16" s="14" t="n">
        <x:v>1.3978</x:v>
      </x:c>
      <x:c r="L16" s="10" t="n">
        <x:f>IF(AND(ISNUMBER(H16),ISNUMBER(J16),ISNUMBER(K16)),H16*J16*K16,"")</x:f>
        <x:v>3815763.363</x:v>
      </x:c>
      <x:c r="M16" s="2" t="str">
        <x:v>reported</x:v>
      </x:c>
      <x:c r="N16" s="2" t="str">
        <x:v>Yes</x:v>
      </x:c>
      <x:c r="O16" s="17" t="n">
        <x:v>2025</x:v>
      </x:c>
      <x:c r="P16" s="15" t="str">
        <x:v>https://www.bankofcanada.ca/rates/exchange/annual-average-exchange-rates/</x:v>
      </x:c>
      <x:c r="Q16" s="16" t="d">
        <x:v>2026-04-13T12:00:00.000Z</x:v>
      </x:c>
      <x:c r="R16" s="15" t="str">
        <x:v>Summary Compensation Table</x:v>
      </x:c>
      <x:c r="S16" s="2" t="n">
        <x:v>77</x:v>
      </x:c>
      <x:c r="T16" s="15" t="str">
        <x:v>b2gold_circular.pdf</x:v>
      </x:c>
      <x:c r="U16" s="15" t="str">
        <x:v>https://s204.q4cdn.com/324791784/files/doc_downloads/2026/04/B2Gold-MIC-FYE-December-31-2025.pdf</x:v>
      </x:c>
      <x:c r="V16" s="15" t="str">
        <x:v>000bcea1d986585b3d261c785a369eb49859de5dd24837b9d487723021a0214c</x:v>
      </x:c>
      <x:c r="W16" s="15" t="str">
        <x:v>PDF p.77, SCT notes (1)-(3); currency convention PDF p.19. Annual cash bonus paid March 2026 for services in FY2025. Share awards copied as reported.</x:v>
      </x:c>
      <x:c r="X16" s="15" t="str">
        <x:v>Reported table value; no award revaluation or reconstruction.</x:v>
      </x:c>
      <x:c r="Y16" s="15" t="str"/>
      <x:c r="Z16" s="2"/>
      <x:c r="AA16" s="2" t="str">
        <x:v>interfor</x:v>
      </x:c>
      <x:c r="AB16" s="2" t="n">
        <x:v>5</x:v>
      </x:c>
      <x:c r="AC16" s="2" t="n">
        <x:v>11</x:v>
      </x:c>
      <x:c r="AD16" s="15" t="str">
        <x:v>• “we”, “us”, “our”, “Company” and “Interfor” mean Interfor Corporation</x:v>
      </x:c>
    </x:row>
    <x:row r="17" ht="48" customHeight="1">
      <x:c r="A17" s="2" t="str">
        <x:v>83b69dd400f3122c839c</x:v>
      </x:c>
      <x:c r="B17" s="2" t="str">
        <x:v>B2Gold Corp.</x:v>
      </x:c>
      <x:c r="C17" s="2" t="str">
        <x:v>Clive Johnson</x:v>
      </x:c>
      <x:c r="D17" s="16" t="d">
        <x:v>2025-12-31T12:00:00.000Z</x:v>
      </x:c>
      <x:c r="E17" s="2" t="str">
        <x:v>option_awards</x:v>
      </x:c>
      <x:c r="F17" s="15" t="str">
        <x:v>Option-Based Awards ($)</x:v>
      </x:c>
      <x:c r="G17" s="2" t="str">
        <x:v>-</x:v>
      </x:c>
      <x:c r="H17" s="12"/>
      <x:c r="I17" s="13" t="str">
        <x:v>USD</x:v>
      </x:c>
      <x:c r="J17" s="13" t="n">
        <x:v>1</x:v>
      </x:c>
      <x:c r="K17" s="14"/>
      <x:c r="L17" s="10" t="str">
        <x:f>IF(AND(ISNUMBER(H17),ISNUMBER(J17),ISNUMBER(K17)),H17*J17*K17,"")</x:f>
      </x:c>
      <x:c r="M17" s="2" t="str">
        <x:v>uncertain</x:v>
      </x:c>
      <x:c r="N17" s="2" t="str">
        <x:v>No</x:v>
      </x:c>
      <x:c r="O17" s="17"/>
      <x:c r="P17" s="15" t="str"/>
      <x:c r="Q17" s="16" t="d">
        <x:v>2026-04-13T12:00:00.000Z</x:v>
      </x:c>
      <x:c r="R17" s="15" t="str">
        <x:v>Summary Compensation Table</x:v>
      </x:c>
      <x:c r="S17" s="2" t="n">
        <x:v>77</x:v>
      </x:c>
      <x:c r="T17" s="15" t="str">
        <x:v>b2gold_circular.pdf</x:v>
      </x:c>
      <x:c r="U17" s="15" t="str">
        <x:v>https://s204.q4cdn.com/324791784/files/doc_downloads/2026/04/B2Gold-MIC-FYE-December-31-2025.pdf</x:v>
      </x:c>
      <x:c r="V17" s="15" t="str">
        <x:v>000bcea1d986585b3d261c785a369eb49859de5dd24837b9d487723021a0214c</x:v>
      </x:c>
      <x:c r="W17" s="15" t="str">
        <x:v>PDF p.77, SCT notes (1)-(3); currency convention PDF p.19. Annual cash bonus paid March 2026 for services in FY2025. Share awards copied as reported.</x:v>
      </x:c>
      <x:c r="X17" s="15" t="str">
        <x:v>Reported table value; no award revaluation or reconstruction.</x:v>
      </x:c>
      <x:c r="Y17" s="15" t="str">
        <x:v>Source dash has no verified numeric meaning</x:v>
      </x:c>
      <x:c r="Z17" s="2"/>
      <x:c r="AA17" s="2" t="str">
        <x:v>interfor</x:v>
      </x:c>
      <x:c r="AB17" s="2" t="n">
        <x:v>5</x:v>
      </x:c>
      <x:c r="AC17" s="2" t="n">
        <x:v>12</x:v>
      </x:c>
      <x:c r="AD17" s="15" t="str">
        <x:v>• “Board” means Interfor’s board of directors</x:v>
      </x:c>
    </x:row>
    <x:row r="18" ht="48" customHeight="1">
      <x:c r="A18" s="2" t="str">
        <x:v>83b69dd400f3122c839c</x:v>
      </x:c>
      <x:c r="B18" s="2" t="str">
        <x:v>B2Gold Corp.</x:v>
      </x:c>
      <x:c r="C18" s="2" t="str">
        <x:v>Clive Johnson</x:v>
      </x:c>
      <x:c r="D18" s="16" t="d">
        <x:v>2025-12-31T12:00:00.000Z</x:v>
      </x:c>
      <x:c r="E18" s="2" t="str">
        <x:v>annual_incentive</x:v>
      </x:c>
      <x:c r="F18" s="15" t="str">
        <x:v>Annual Incentive Program ($)(2)</x:v>
      </x:c>
      <x:c r="G18" s="2" t="str">
        <x:v>1,010,685</x:v>
      </x:c>
      <x:c r="H18" s="12" t="n">
        <x:v>1010685</x:v>
      </x:c>
      <x:c r="I18" s="13" t="str">
        <x:v>USD</x:v>
      </x:c>
      <x:c r="J18" s="13" t="n">
        <x:v>1</x:v>
      </x:c>
      <x:c r="K18" s="14" t="n">
        <x:v>1.3978</x:v>
      </x:c>
      <x:c r="L18" s="10" t="n">
        <x:f>IF(AND(ISNUMBER(H18),ISNUMBER(J18),ISNUMBER(K18)),H18*J18*K18,"")</x:f>
        <x:v>1412735.493</x:v>
      </x:c>
      <x:c r="M18" s="2" t="str">
        <x:v>reported</x:v>
      </x:c>
      <x:c r="N18" s="2" t="str">
        <x:v>Yes</x:v>
      </x:c>
      <x:c r="O18" s="17" t="n">
        <x:v>2025</x:v>
      </x:c>
      <x:c r="P18" s="15" t="str">
        <x:v>https://www.bankofcanada.ca/rates/exchange/annual-average-exchange-rates/</x:v>
      </x:c>
      <x:c r="Q18" s="16" t="d">
        <x:v>2026-04-13T12:00:00.000Z</x:v>
      </x:c>
      <x:c r="R18" s="15" t="str">
        <x:v>Summary Compensation Table</x:v>
      </x:c>
      <x:c r="S18" s="2" t="n">
        <x:v>77</x:v>
      </x:c>
      <x:c r="T18" s="15" t="str">
        <x:v>b2gold_circular.pdf</x:v>
      </x:c>
      <x:c r="U18" s="15" t="str">
        <x:v>https://s204.q4cdn.com/324791784/files/doc_downloads/2026/04/B2Gold-MIC-FYE-December-31-2025.pdf</x:v>
      </x:c>
      <x:c r="V18" s="15" t="str">
        <x:v>000bcea1d986585b3d261c785a369eb49859de5dd24837b9d487723021a0214c</x:v>
      </x:c>
      <x:c r="W18" s="15" t="str">
        <x:v>PDF p.77, SCT notes (1)-(3); currency convention PDF p.19. Annual cash bonus paid March 2026 for services in FY2025. Share awards copied as reported.</x:v>
      </x:c>
      <x:c r="X18" s="15" t="str">
        <x:v>Annual short-term incentive heading; direct mapping, no long-term amounts combined.</x:v>
      </x:c>
      <x:c r="Y18" s="15" t="str"/>
      <x:c r="Z18" s="2"/>
      <x:c r="AA18" s="2" t="str">
        <x:v>interfor</x:v>
      </x:c>
      <x:c r="AB18" s="2" t="n">
        <x:v>5</x:v>
      </x:c>
      <x:c r="AC18" s="2" t="n">
        <x:v>13</x:v>
      </x:c>
      <x:c r="AD18" s="15" t="str">
        <x:v>• “Shares” means Interfor’s common shares</x:v>
      </x:c>
    </x:row>
    <x:row r="19" ht="48" customHeight="1">
      <x:c r="A19" s="2" t="str">
        <x:v>83b69dd400f3122c839c</x:v>
      </x:c>
      <x:c r="B19" s="2" t="str">
        <x:v>B2Gold Corp.</x:v>
      </x:c>
      <x:c r="C19" s="2" t="str">
        <x:v>Clive Johnson</x:v>
      </x:c>
      <x:c r="D19" s="16" t="d">
        <x:v>2025-12-31T12:00:00.000Z</x:v>
      </x:c>
      <x:c r="E19" s="2" t="str">
        <x:v>long_term_incentive</x:v>
      </x:c>
      <x:c r="F19" s="15" t="str">
        <x:v>Long-Term Incentive Plans ($)</x:v>
      </x:c>
      <x:c r="G19" s="2" t="str">
        <x:v>-</x:v>
      </x:c>
      <x:c r="H19" s="12"/>
      <x:c r="I19" s="13" t="str">
        <x:v>USD</x:v>
      </x:c>
      <x:c r="J19" s="13" t="n">
        <x:v>1</x:v>
      </x:c>
      <x:c r="K19" s="14"/>
      <x:c r="L19" s="10" t="str">
        <x:f>IF(AND(ISNUMBER(H19),ISNUMBER(J19),ISNUMBER(K19)),H19*J19*K19,"")</x:f>
      </x:c>
      <x:c r="M19" s="2" t="str">
        <x:v>uncertain</x:v>
      </x:c>
      <x:c r="N19" s="2" t="str">
        <x:v>No</x:v>
      </x:c>
      <x:c r="O19" s="17"/>
      <x:c r="P19" s="15" t="str"/>
      <x:c r="Q19" s="16" t="d">
        <x:v>2026-04-13T12:00:00.000Z</x:v>
      </x:c>
      <x:c r="R19" s="15" t="str">
        <x:v>Summary Compensation Table</x:v>
      </x:c>
      <x:c r="S19" s="2" t="n">
        <x:v>77</x:v>
      </x:c>
      <x:c r="T19" s="15" t="str">
        <x:v>b2gold_circular.pdf</x:v>
      </x:c>
      <x:c r="U19" s="15" t="str">
        <x:v>https://s204.q4cdn.com/324791784/files/doc_downloads/2026/04/B2Gold-MIC-FYE-December-31-2025.pdf</x:v>
      </x:c>
      <x:c r="V19" s="15" t="str">
        <x:v>000bcea1d986585b3d261c785a369eb49859de5dd24837b9d487723021a0214c</x:v>
      </x:c>
      <x:c r="W19" s="15" t="str">
        <x:v>PDF p.77, SCT notes (1)-(3); currency convention PDF p.19. Annual cash bonus paid March 2026 for services in FY2025. Share awards copied as reported.</x:v>
      </x:c>
      <x:c r="X19" s="15" t="str">
        <x:v>Reported table value; no award revaluation or reconstruction.</x:v>
      </x:c>
      <x:c r="Y19" s="15" t="str">
        <x:v>Source dash has no verified numeric meaning</x:v>
      </x:c>
      <x:c r="Z19" s="2"/>
      <x:c r="AA19" s="2" t="str">
        <x:v>interfor</x:v>
      </x:c>
      <x:c r="AB19" s="2" t="n">
        <x:v>5</x:v>
      </x:c>
      <x:c r="AC19" s="2" t="n">
        <x:v>14</x:v>
      </x:c>
      <x:c r="AD19" s="15" t="str">
        <x:v>• “Shareholder” means a holder of Shares</x:v>
      </x:c>
    </x:row>
    <x:row r="20" ht="48" customHeight="1">
      <x:c r="A20" s="2" t="str">
        <x:v>83b69dd400f3122c839c</x:v>
      </x:c>
      <x:c r="B20" s="2" t="str">
        <x:v>B2Gold Corp.</x:v>
      </x:c>
      <x:c r="C20" s="2" t="str">
        <x:v>Clive Johnson</x:v>
      </x:c>
      <x:c r="D20" s="16" t="d">
        <x:v>2025-12-31T12:00:00.000Z</x:v>
      </x:c>
      <x:c r="E20" s="2" t="str">
        <x:v>pension</x:v>
      </x:c>
      <x:c r="F20" s="15"/>
      <x:c r="G20" s="2"/>
      <x:c r="H20" s="12"/>
      <x:c r="I20" s="13" t="str">
        <x:v>USD</x:v>
      </x:c>
      <x:c r="J20" s="13" t="n">
        <x:v>1</x:v>
      </x:c>
      <x:c r="K20" s="14"/>
      <x:c r="L20" s="10" t="str">
        <x:f>IF(AND(ISNUMBER(H20),ISNUMBER(J20),ISNUMBER(K20)),H20*J20*K20,"")</x:f>
      </x:c>
      <x:c r="M20" s="2" t="str">
        <x:v>not_disclosed</x:v>
      </x:c>
      <x:c r="N20" s="2" t="str">
        <x:v>No</x:v>
      </x:c>
      <x:c r="O20" s="17"/>
      <x:c r="P20" s="15" t="str"/>
      <x:c r="Q20" s="16" t="d">
        <x:v>2026-04-13T12:00:00.000Z</x:v>
      </x:c>
      <x:c r="R20" s="15" t="str">
        <x:v>Summary Compensation Table</x:v>
      </x:c>
      <x:c r="S20" s="2" t="n">
        <x:v>77</x:v>
      </x:c>
      <x:c r="T20" s="15" t="str">
        <x:v>b2gold_circular.pdf</x:v>
      </x:c>
      <x:c r="U20" s="15" t="str">
        <x:v>https://s204.q4cdn.com/324791784/files/doc_downloads/2026/04/B2Gold-MIC-FYE-December-31-2025.pdf</x:v>
      </x:c>
      <x:c r="V20" s="15" t="str">
        <x:v>000bcea1d986585b3d261c785a369eb49859de5dd24837b9d487723021a0214c</x:v>
      </x:c>
      <x:c r="W20" s="15" t="str">
        <x:v>PDF p.77, SCT notes (1)-(3); currency convention PDF p.19. Annual cash bonus paid March 2026 for services in FY2025. Share awards copied as reported.</x:v>
      </x:c>
      <x:c r="X20" s="15" t="str">
        <x:v>No amount inferred from other fields.</x:v>
      </x:c>
      <x:c r="Y20" s="15" t="str">
        <x:v>No separate column in the Summary Compensation Table</x:v>
      </x:c>
      <x:c r="Z20" s="2"/>
      <x:c r="AA20" s="2" t="str">
        <x:v>interfor</x:v>
      </x:c>
      <x:c r="AB20" s="2" t="n">
        <x:v>5</x:v>
      </x:c>
      <x:c r="AC20" s="2" t="n">
        <x:v>15</x:v>
      </x:c>
      <x:c r="AD20" s="15" t="str">
        <x:v>• “Information Circular” means this management information circular</x:v>
      </x:c>
    </x:row>
    <x:row r="21" ht="48" customHeight="1">
      <x:c r="A21" s="2" t="str">
        <x:v>83b69dd400f3122c839c</x:v>
      </x:c>
      <x:c r="B21" s="2" t="str">
        <x:v>B2Gold Corp.</x:v>
      </x:c>
      <x:c r="C21" s="2" t="str">
        <x:v>Clive Johnson</x:v>
      </x:c>
      <x:c r="D21" s="16" t="d">
        <x:v>2025-12-31T12:00:00.000Z</x:v>
      </x:c>
      <x:c r="E21" s="2" t="str">
        <x:v>other</x:v>
      </x:c>
      <x:c r="F21" s="15" t="str">
        <x:v>All Other Compensation ($)(3)</x:v>
      </x:c>
      <x:c r="G21" s="2" t="str">
        <x:v>149,833</x:v>
      </x:c>
      <x:c r="H21" s="12" t="n">
        <x:v>149833</x:v>
      </x:c>
      <x:c r="I21" s="13" t="str">
        <x:v>USD</x:v>
      </x:c>
      <x:c r="J21" s="13" t="n">
        <x:v>1</x:v>
      </x:c>
      <x:c r="K21" s="14" t="n">
        <x:v>1.3978</x:v>
      </x:c>
      <x:c r="L21" s="10" t="n">
        <x:f>IF(AND(ISNUMBER(H21),ISNUMBER(J21),ISNUMBER(K21)),H21*J21*K21,"")</x:f>
        <x:v>209436.5674</x:v>
      </x:c>
      <x:c r="M21" s="2" t="str">
        <x:v>reported</x:v>
      </x:c>
      <x:c r="N21" s="2" t="str">
        <x:v>Yes</x:v>
      </x:c>
      <x:c r="O21" s="17" t="n">
        <x:v>2025</x:v>
      </x:c>
      <x:c r="P21" s="15" t="str">
        <x:v>https://www.bankofcanada.ca/rates/exchange/annual-average-exchange-rates/</x:v>
      </x:c>
      <x:c r="Q21" s="16" t="d">
        <x:v>2026-04-13T12:00:00.000Z</x:v>
      </x:c>
      <x:c r="R21" s="15" t="str">
        <x:v>Summary Compensation Table</x:v>
      </x:c>
      <x:c r="S21" s="2" t="n">
        <x:v>77</x:v>
      </x:c>
      <x:c r="T21" s="15" t="str">
        <x:v>b2gold_circular.pdf</x:v>
      </x:c>
      <x:c r="U21" s="15" t="str">
        <x:v>https://s204.q4cdn.com/324791784/files/doc_downloads/2026/04/B2Gold-MIC-FYE-December-31-2025.pdf</x:v>
      </x:c>
      <x:c r="V21" s="15" t="str">
        <x:v>000bcea1d986585b3d261c785a369eb49859de5dd24837b9d487723021a0214c</x:v>
      </x:c>
      <x:c r="W21" s="15" t="str">
        <x:v>PDF p.77, SCT notes (1)-(3); currency convention PDF p.19. Annual cash bonus paid March 2026 for services in FY2025. Share awards copied as reported.</x:v>
      </x:c>
      <x:c r="X21" s="15" t="str">
        <x:v>Reported table value; no award revaluation or reconstruction.</x:v>
      </x:c>
      <x:c r="Y21" s="15" t="str"/>
      <x:c r="Z21" s="2"/>
      <x:c r="AA21" s="2" t="str">
        <x:v>interfor</x:v>
      </x:c>
      <x:c r="AB21" s="2" t="n">
        <x:v>5</x:v>
      </x:c>
      <x:c r="AC21" s="2" t="n">
        <x:v>16</x:v>
      </x:c>
      <x:c r="AD21" s="15" t="str">
        <x:v>• “Meeting” means the 2026 annual general meeting of Shareholders</x:v>
      </x:c>
    </x:row>
    <x:row r="22" ht="48" customHeight="1">
      <x:c r="A22" s="2" t="str">
        <x:v>1cf8cf9d0247c5efc340</x:v>
      </x:c>
      <x:c r="B22" s="2" t="str">
        <x:v>Methanex Corporation</x:v>
      </x:c>
      <x:c r="C22" s="2" t="str">
        <x:v>Gustavo Parra</x:v>
      </x:c>
      <x:c r="D22" s="16" t="d">
        <x:v>2025-12-31T12:00:00.000Z</x:v>
      </x:c>
      <x:c r="E22" s="2" t="str">
        <x:v>total</x:v>
      </x:c>
      <x:c r="F22" s="15" t="str">
        <x:v>Total Compensation</x:v>
      </x:c>
      <x:c r="G22" s="2" t="str">
        <x:v>3,657,380</x:v>
      </x:c>
      <x:c r="H22" s="12" t="n">
        <x:v>3657380</x:v>
      </x:c>
      <x:c r="I22" s="13" t="str">
        <x:v>CAD</x:v>
      </x:c>
      <x:c r="J22" s="13" t="n">
        <x:v>1</x:v>
      </x:c>
      <x:c r="K22" s="14" t="n">
        <x:v>1</x:v>
      </x:c>
      <x:c r="L22" s="10" t="n">
        <x:f>IF(AND(ISNUMBER(H22),ISNUMBER(J22),ISNUMBER(K22)),H22*J22*K22,"")</x:f>
        <x:v>3657380</x:v>
      </x:c>
      <x:c r="M22" s="2" t="str">
        <x:v>reported</x:v>
      </x:c>
      <x:c r="N22" s="2" t="str">
        <x:v>No</x:v>
      </x:c>
      <x:c r="O22" s="17"/>
      <x:c r="P22" s="15" t="str"/>
      <x:c r="Q22" s="16" t="d">
        <x:v>2026-03-09T12:00:00.000Z</x:v>
      </x:c>
      <x:c r="R22" s="15" t="str">
        <x:v>Summary Compensation Table</x:v>
      </x:c>
      <x:c r="S22" s="2" t="n">
        <x:v>89</x:v>
      </x:c>
      <x:c r="T22" s="15" t="str">
        <x:v>methanex_circular.pdf</x:v>
      </x:c>
      <x:c r="U22" s="15" t="str">
        <x:v>https://www.methanex.com/wp-content/uploads/2026-Information-Circular.pdf</x:v>
      </x:c>
      <x:c r="V22" s="15" t="str">
        <x:v>52a00ac52176b80ff10264bb3579ff939ece4db1c590d62a2843d5bf6729e6ce</x:v>
      </x:c>
      <x:c r="W22" s="15" t="str">
        <x:v>PDF pp.89-90, SCT notes (1)-(7). Grant-date awards retained; issuer-translated CAD values retained. Annual incentive earned in year, not payment year.</x:v>
      </x:c>
      <x:c r="X22" s="15" t="str">
        <x:v>Reported table value; no award revaluation or reconstruction.</x:v>
      </x:c>
      <x:c r="Y22" s="15" t="str"/>
      <x:c r="Z22" s="2"/>
      <x:c r="AA22" s="2" t="str">
        <x:v>interfor</x:v>
      </x:c>
      <x:c r="AB22" s="2" t="n">
        <x:v>5</x:v>
      </x:c>
      <x:c r="AC22" s="2" t="n">
        <x:v>17</x:v>
      </x:c>
      <x:c r="AD22" s="15" t="str">
        <x:v>• “Record Date” means March 17, 2026</x:v>
      </x:c>
    </x:row>
    <x:row r="23" ht="48" customHeight="1">
      <x:c r="A23" s="2" t="str">
        <x:v>1cf8cf9d0247c5efc340</x:v>
      </x:c>
      <x:c r="B23" s="2" t="str">
        <x:v>Methanex Corporation</x:v>
      </x:c>
      <x:c r="C23" s="2" t="str">
        <x:v>Gustavo Parra</x:v>
      </x:c>
      <x:c r="D23" s="16" t="d">
        <x:v>2025-12-31T12:00:00.000Z</x:v>
      </x:c>
      <x:c r="E23" s="2" t="str">
        <x:v>salary</x:v>
      </x:c>
      <x:c r="F23" s="15" t="str">
        <x:v>Base Salary(2)</x:v>
      </x:c>
      <x:c r="G23" s="2" t="str">
        <x:v>607,903</x:v>
      </x:c>
      <x:c r="H23" s="12" t="n">
        <x:v>607903</x:v>
      </x:c>
      <x:c r="I23" s="13" t="str">
        <x:v>CAD</x:v>
      </x:c>
      <x:c r="J23" s="13" t="n">
        <x:v>1</x:v>
      </x:c>
      <x:c r="K23" s="14" t="n">
        <x:v>1</x:v>
      </x:c>
      <x:c r="L23" s="10" t="n">
        <x:f>IF(AND(ISNUMBER(H23),ISNUMBER(J23),ISNUMBER(K23)),H23*J23*K23,"")</x:f>
        <x:v>607903</x:v>
      </x:c>
      <x:c r="M23" s="2" t="str">
        <x:v>reported</x:v>
      </x:c>
      <x:c r="N23" s="2" t="str">
        <x:v>No</x:v>
      </x:c>
      <x:c r="O23" s="17"/>
      <x:c r="P23" s="15" t="str"/>
      <x:c r="Q23" s="16" t="d">
        <x:v>2026-03-09T12:00:00.000Z</x:v>
      </x:c>
      <x:c r="R23" s="15" t="str">
        <x:v>Summary Compensation Table</x:v>
      </x:c>
      <x:c r="S23" s="2" t="n">
        <x:v>89</x:v>
      </x:c>
      <x:c r="T23" s="15" t="str">
        <x:v>methanex_circular.pdf</x:v>
      </x:c>
      <x:c r="U23" s="15" t="str">
        <x:v>https://www.methanex.com/wp-content/uploads/2026-Information-Circular.pdf</x:v>
      </x:c>
      <x:c r="V23" s="15" t="str">
        <x:v>52a00ac52176b80ff10264bb3579ff939ece4db1c590d62a2843d5bf6729e6ce</x:v>
      </x:c>
      <x:c r="W23" s="15" t="str">
        <x:v>PDF pp.89-90, SCT notes (1)-(7). Grant-date awards retained; issuer-translated CAD values retained. Annual incentive earned in year, not payment year.</x:v>
      </x:c>
      <x:c r="X23" s="15" t="str">
        <x:v>Reported table value; no award revaluation or reconstruction.</x:v>
      </x:c>
      <x:c r="Y23" s="15" t="str"/>
      <x:c r="Z23" s="2"/>
      <x:c r="AA23" s="2" t="str">
        <x:v>interfor</x:v>
      </x:c>
      <x:c r="AB23" s="2" t="n">
        <x:v>5</x:v>
      </x:c>
      <x:c r="AC23" s="2" t="n">
        <x:v>18</x:v>
      </x:c>
      <x:c r="AD23" s="15" t="str">
        <x:v>In this Information Circular, all dollar amounts are in Canadian dollars and information is as</x:v>
      </x:c>
    </x:row>
    <x:row r="24" ht="48" customHeight="1">
      <x:c r="A24" s="2" t="str">
        <x:v>1cf8cf9d0247c5efc340</x:v>
      </x:c>
      <x:c r="B24" s="2" t="str">
        <x:v>Methanex Corporation</x:v>
      </x:c>
      <x:c r="C24" s="2" t="str">
        <x:v>Gustavo Parra</x:v>
      </x:c>
      <x:c r="D24" s="16" t="d">
        <x:v>2025-12-31T12:00:00.000Z</x:v>
      </x:c>
      <x:c r="E24" s="2" t="str">
        <x:v>share_awards</x:v>
      </x:c>
      <x:c r="F24" s="15" t="str">
        <x:v>Share-Based Awards(3)</x:v>
      </x:c>
      <x:c r="G24" s="2" t="str">
        <x:v>570,144</x:v>
      </x:c>
      <x:c r="H24" s="12" t="n">
        <x:v>570144</x:v>
      </x:c>
      <x:c r="I24" s="13" t="str">
        <x:v>CAD</x:v>
      </x:c>
      <x:c r="J24" s="13" t="n">
        <x:v>1</x:v>
      </x:c>
      <x:c r="K24" s="14" t="n">
        <x:v>1</x:v>
      </x:c>
      <x:c r="L24" s="10" t="n">
        <x:f>IF(AND(ISNUMBER(H24),ISNUMBER(J24),ISNUMBER(K24)),H24*J24*K24,"")</x:f>
        <x:v>570144</x:v>
      </x:c>
      <x:c r="M24" s="2" t="str">
        <x:v>reported</x:v>
      </x:c>
      <x:c r="N24" s="2" t="str">
        <x:v>No</x:v>
      </x:c>
      <x:c r="O24" s="17"/>
      <x:c r="P24" s="15" t="str"/>
      <x:c r="Q24" s="16" t="d">
        <x:v>2026-03-09T12:00:00.000Z</x:v>
      </x:c>
      <x:c r="R24" s="15" t="str">
        <x:v>Summary Compensation Table</x:v>
      </x:c>
      <x:c r="S24" s="2" t="n">
        <x:v>89</x:v>
      </x:c>
      <x:c r="T24" s="15" t="str">
        <x:v>methanex_circular.pdf</x:v>
      </x:c>
      <x:c r="U24" s="15" t="str">
        <x:v>https://www.methanex.com/wp-content/uploads/2026-Information-Circular.pdf</x:v>
      </x:c>
      <x:c r="V24" s="15" t="str">
        <x:v>52a00ac52176b80ff10264bb3579ff939ece4db1c590d62a2843d5bf6729e6ce</x:v>
      </x:c>
      <x:c r="W24" s="15" t="str">
        <x:v>PDF pp.89-90, SCT notes (1)-(7). Grant-date awards retained; issuer-translated CAD values retained. Annual incentive earned in year, not payment year.</x:v>
      </x:c>
      <x:c r="X24" s="15" t="str">
        <x:v>Reported table value; no award revaluation or reconstruction.</x:v>
      </x:c>
      <x:c r="Y24" s="15" t="str"/>
      <x:c r="Z24" s="2"/>
      <x:c r="AA24" s="2" t="str">
        <x:v>interfor</x:v>
      </x:c>
      <x:c r="AB24" s="2" t="n">
        <x:v>5</x:v>
      </x:c>
      <x:c r="AC24" s="2" t="n">
        <x:v>19</x:v>
      </x:c>
      <x:c r="AD24" s="15" t="str">
        <x:v>of March 17, 2026, unless stated otherwise.</x:v>
      </x:c>
    </x:row>
    <x:row r="25" ht="48" customHeight="1">
      <x:c r="A25" s="2" t="str">
        <x:v>1cf8cf9d0247c5efc340</x:v>
      </x:c>
      <x:c r="B25" s="2" t="str">
        <x:v>Methanex Corporation</x:v>
      </x:c>
      <x:c r="C25" s="2" t="str">
        <x:v>Gustavo Parra</x:v>
      </x:c>
      <x:c r="D25" s="16" t="d">
        <x:v>2025-12-31T12:00:00.000Z</x:v>
      </x:c>
      <x:c r="E25" s="2" t="str">
        <x:v>option_awards</x:v>
      </x:c>
      <x:c r="F25" s="15" t="str">
        <x:v>Option-Based Awards(4)</x:v>
      </x:c>
      <x:c r="G25" s="2" t="str">
        <x:v>571,291</x:v>
      </x:c>
      <x:c r="H25" s="12" t="n">
        <x:v>571291</x:v>
      </x:c>
      <x:c r="I25" s="13" t="str">
        <x:v>CAD</x:v>
      </x:c>
      <x:c r="J25" s="13" t="n">
        <x:v>1</x:v>
      </x:c>
      <x:c r="K25" s="14" t="n">
        <x:v>1</x:v>
      </x:c>
      <x:c r="L25" s="10" t="n">
        <x:f>IF(AND(ISNUMBER(H25),ISNUMBER(J25),ISNUMBER(K25)),H25*J25*K25,"")</x:f>
        <x:v>571291</x:v>
      </x:c>
      <x:c r="M25" s="2" t="str">
        <x:v>reported</x:v>
      </x:c>
      <x:c r="N25" s="2" t="str">
        <x:v>No</x:v>
      </x:c>
      <x:c r="O25" s="17"/>
      <x:c r="P25" s="15" t="str"/>
      <x:c r="Q25" s="16" t="d">
        <x:v>2026-03-09T12:00:00.000Z</x:v>
      </x:c>
      <x:c r="R25" s="15" t="str">
        <x:v>Summary Compensation Table</x:v>
      </x:c>
      <x:c r="S25" s="2" t="n">
        <x:v>89</x:v>
      </x:c>
      <x:c r="T25" s="15" t="str">
        <x:v>methanex_circular.pdf</x:v>
      </x:c>
      <x:c r="U25" s="15" t="str">
        <x:v>https://www.methanex.com/wp-content/uploads/2026-Information-Circular.pdf</x:v>
      </x:c>
      <x:c r="V25" s="15" t="str">
        <x:v>52a00ac52176b80ff10264bb3579ff939ece4db1c590d62a2843d5bf6729e6ce</x:v>
      </x:c>
      <x:c r="W25" s="15" t="str">
        <x:v>PDF pp.89-90, SCT notes (1)-(7). Grant-date awards retained; issuer-translated CAD values retained. Annual incentive earned in year, not payment year.</x:v>
      </x:c>
      <x:c r="X25" s="15" t="str">
        <x:v>Reported table value; no award revaluation or reconstruction.</x:v>
      </x:c>
      <x:c r="Y25" s="15" t="str"/>
      <x:c r="Z25" s="2"/>
      <x:c r="AA25" s="2" t="str">
        <x:v>interfor</x:v>
      </x:c>
      <x:c r="AB25" s="2" t="n">
        <x:v>5</x:v>
      </x:c>
      <x:c r="AC25" s="2" t="n">
        <x:v>20</x:v>
      </x:c>
      <x:c r="AD25" s="15" t="str">
        <x:v>MEETING MATERIALS</x:v>
      </x:c>
    </x:row>
    <x:row r="26" ht="48" customHeight="1">
      <x:c r="A26" s="2" t="str">
        <x:v>1cf8cf9d0247c5efc340</x:v>
      </x:c>
      <x:c r="B26" s="2" t="str">
        <x:v>Methanex Corporation</x:v>
      </x:c>
      <x:c r="C26" s="2" t="str">
        <x:v>Gustavo Parra</x:v>
      </x:c>
      <x:c r="D26" s="16" t="d">
        <x:v>2025-12-31T12:00:00.000Z</x:v>
      </x:c>
      <x:c r="E26" s="2" t="str">
        <x:v>annual_incentive</x:v>
      </x:c>
      <x:c r="F26" s="15" t="str">
        <x:v>Non-Equity Incentive Plan Compensation - Annual Incentive Plans(5)</x:v>
      </x:c>
      <x:c r="G26" s="2" t="str">
        <x:v>494,000</x:v>
      </x:c>
      <x:c r="H26" s="12" t="n">
        <x:v>494000</x:v>
      </x:c>
      <x:c r="I26" s="13" t="str">
        <x:v>CAD</x:v>
      </x:c>
      <x:c r="J26" s="13" t="n">
        <x:v>1</x:v>
      </x:c>
      <x:c r="K26" s="14" t="n">
        <x:v>1</x:v>
      </x:c>
      <x:c r="L26" s="10" t="n">
        <x:f>IF(AND(ISNUMBER(H26),ISNUMBER(J26),ISNUMBER(K26)),H26*J26*K26,"")</x:f>
        <x:v>494000</x:v>
      </x:c>
      <x:c r="M26" s="2" t="str">
        <x:v>reported</x:v>
      </x:c>
      <x:c r="N26" s="2" t="str">
        <x:v>No</x:v>
      </x:c>
      <x:c r="O26" s="17"/>
      <x:c r="P26" s="15" t="str"/>
      <x:c r="Q26" s="16" t="d">
        <x:v>2026-03-09T12:00:00.000Z</x:v>
      </x:c>
      <x:c r="R26" s="15" t="str">
        <x:v>Summary Compensation Table</x:v>
      </x:c>
      <x:c r="S26" s="2" t="n">
        <x:v>89</x:v>
      </x:c>
      <x:c r="T26" s="15" t="str">
        <x:v>methanex_circular.pdf</x:v>
      </x:c>
      <x:c r="U26" s="15" t="str">
        <x:v>https://www.methanex.com/wp-content/uploads/2026-Information-Circular.pdf</x:v>
      </x:c>
      <x:c r="V26" s="15" t="str">
        <x:v>52a00ac52176b80ff10264bb3579ff939ece4db1c590d62a2843d5bf6729e6ce</x:v>
      </x:c>
      <x:c r="W26" s="15" t="str">
        <x:v>PDF pp.89-90, SCT notes (1)-(7). Grant-date awards retained; issuer-translated CAD values retained. Annual incentive earned in year, not payment year.</x:v>
      </x:c>
      <x:c r="X26" s="15" t="str">
        <x:v>Annual short-term incentive heading; direct mapping, no long-term amounts combined.</x:v>
      </x:c>
      <x:c r="Y26" s="15" t="str"/>
      <x:c r="Z26" s="2"/>
      <x:c r="AA26" s="2" t="str">
        <x:v>interfor</x:v>
      </x:c>
      <x:c r="AB26" s="2" t="n">
        <x:v>5</x:v>
      </x:c>
      <x:c r="AC26" s="2" t="n">
        <x:v>21</x:v>
      </x:c>
      <x:c r="AD26" s="15" t="str">
        <x:v>We are delivering your Meeting materials, including this Information Circular, by sending</x:v>
      </x:c>
    </x:row>
    <x:row r="27" ht="48" customHeight="1">
      <x:c r="A27" s="2" t="str">
        <x:v>1cf8cf9d0247c5efc340</x:v>
      </x:c>
      <x:c r="B27" s="2" t="str">
        <x:v>Methanex Corporation</x:v>
      </x:c>
      <x:c r="C27" s="2" t="str">
        <x:v>Gustavo Parra</x:v>
      </x:c>
      <x:c r="D27" s="16" t="d">
        <x:v>2025-12-31T12:00:00.000Z</x:v>
      </x:c>
      <x:c r="E27" s="2" t="str">
        <x:v>long_term_incentive</x:v>
      </x:c>
      <x:c r="F27" s="15" t="str">
        <x:v>Non-Equity Incentive Plan Compensation - Long-Term Incentive Plans</x:v>
      </x:c>
      <x:c r="G27" s="2" t="str">
        <x:v>—</x:v>
      </x:c>
      <x:c r="H27" s="12"/>
      <x:c r="I27" s="13" t="str">
        <x:v>CAD</x:v>
      </x:c>
      <x:c r="J27" s="13" t="n">
        <x:v>1</x:v>
      </x:c>
      <x:c r="K27" s="14"/>
      <x:c r="L27" s="10" t="str">
        <x:f>IF(AND(ISNUMBER(H27),ISNUMBER(J27),ISNUMBER(K27)),H27*J27*K27,"")</x:f>
      </x:c>
      <x:c r="M27" s="2" t="str">
        <x:v>uncertain</x:v>
      </x:c>
      <x:c r="N27" s="2" t="str">
        <x:v>No</x:v>
      </x:c>
      <x:c r="O27" s="17"/>
      <x:c r="P27" s="15" t="str"/>
      <x:c r="Q27" s="16" t="d">
        <x:v>2026-03-09T12:00:00.000Z</x:v>
      </x:c>
      <x:c r="R27" s="15" t="str">
        <x:v>Summary Compensation Table</x:v>
      </x:c>
      <x:c r="S27" s="2" t="n">
        <x:v>89</x:v>
      </x:c>
      <x:c r="T27" s="15" t="str">
        <x:v>methanex_circular.pdf</x:v>
      </x:c>
      <x:c r="U27" s="15" t="str">
        <x:v>https://www.methanex.com/wp-content/uploads/2026-Information-Circular.pdf</x:v>
      </x:c>
      <x:c r="V27" s="15" t="str">
        <x:v>52a00ac52176b80ff10264bb3579ff939ece4db1c590d62a2843d5bf6729e6ce</x:v>
      </x:c>
      <x:c r="W27" s="15" t="str">
        <x:v>PDF pp.89-90, SCT notes (1)-(7). Grant-date awards retained; issuer-translated CAD values retained. Annual incentive earned in year, not payment year.</x:v>
      </x:c>
      <x:c r="X27" s="15" t="str">
        <x:v>Reported table value; no award revaluation or reconstruction.</x:v>
      </x:c>
      <x:c r="Y27" s="15" t="str">
        <x:v>Source dash has no verified numeric meaning</x:v>
      </x:c>
      <x:c r="Z27" s="2"/>
      <x:c r="AA27" s="2" t="str">
        <x:v>interfor</x:v>
      </x:c>
      <x:c r="AB27" s="2" t="n">
        <x:v>5</x:v>
      </x:c>
      <x:c r="AC27" s="2" t="n">
        <x:v>22</x:v>
      </x:c>
      <x:c r="AD27" s="15" t="str">
        <x:v>you a notice (a “Short Form Notice”) and making the Meeting materials available for</x:v>
      </x:c>
    </x:row>
    <x:row r="28" ht="48" customHeight="1">
      <x:c r="A28" s="2" t="str">
        <x:v>1cf8cf9d0247c5efc340</x:v>
      </x:c>
      <x:c r="B28" s="2" t="str">
        <x:v>Methanex Corporation</x:v>
      </x:c>
      <x:c r="C28" s="2" t="str">
        <x:v>Gustavo Parra</x:v>
      </x:c>
      <x:c r="D28" s="16" t="d">
        <x:v>2025-12-31T12:00:00.000Z</x:v>
      </x:c>
      <x:c r="E28" s="2" t="str">
        <x:v>pension</x:v>
      </x:c>
      <x:c r="F28" s="15" t="str">
        <x:v>Pension Value(6)</x:v>
      </x:c>
      <x:c r="G28" s="2" t="str">
        <x:v>95,952</x:v>
      </x:c>
      <x:c r="H28" s="12" t="n">
        <x:v>95952</x:v>
      </x:c>
      <x:c r="I28" s="13" t="str">
        <x:v>CAD</x:v>
      </x:c>
      <x:c r="J28" s="13" t="n">
        <x:v>1</x:v>
      </x:c>
      <x:c r="K28" s="14" t="n">
        <x:v>1</x:v>
      </x:c>
      <x:c r="L28" s="10" t="n">
        <x:f>IF(AND(ISNUMBER(H28),ISNUMBER(J28),ISNUMBER(K28)),H28*J28*K28,"")</x:f>
        <x:v>95952</x:v>
      </x:c>
      <x:c r="M28" s="2" t="str">
        <x:v>reported</x:v>
      </x:c>
      <x:c r="N28" s="2" t="str">
        <x:v>No</x:v>
      </x:c>
      <x:c r="O28" s="17"/>
      <x:c r="P28" s="15" t="str"/>
      <x:c r="Q28" s="16" t="d">
        <x:v>2026-03-09T12:00:00.000Z</x:v>
      </x:c>
      <x:c r="R28" s="15" t="str">
        <x:v>Summary Compensation Table</x:v>
      </x:c>
      <x:c r="S28" s="2" t="n">
        <x:v>89</x:v>
      </x:c>
      <x:c r="T28" s="15" t="str">
        <x:v>methanex_circular.pdf</x:v>
      </x:c>
      <x:c r="U28" s="15" t="str">
        <x:v>https://www.methanex.com/wp-content/uploads/2026-Information-Circular.pdf</x:v>
      </x:c>
      <x:c r="V28" s="15" t="str">
        <x:v>52a00ac52176b80ff10264bb3579ff939ece4db1c590d62a2843d5bf6729e6ce</x:v>
      </x:c>
      <x:c r="W28" s="15" t="str">
        <x:v>PDF pp.89-90, SCT notes (1)-(7). Grant-date awards retained; issuer-translated CAD values retained. Annual incentive earned in year, not payment year.</x:v>
      </x:c>
      <x:c r="X28" s="15" t="str">
        <x:v>Reported table value; no award revaluation or reconstruction.</x:v>
      </x:c>
      <x:c r="Y28" s="15" t="str"/>
      <x:c r="Z28" s="2"/>
      <x:c r="AA28" s="2" t="str">
        <x:v>interfor</x:v>
      </x:c>
      <x:c r="AB28" s="2" t="n">
        <x:v>5</x:v>
      </x:c>
      <x:c r="AC28" s="2" t="n">
        <x:v>23</x:v>
      </x:c>
      <x:c r="AD28" s="15" t="str">
        <x:v>download from our website at www.interfor.com/investors/reports, on March 18, 2026 and</x:v>
      </x:c>
    </x:row>
    <x:row r="29" ht="48" customHeight="1">
      <x:c r="A29" s="2" t="str">
        <x:v>1cf8cf9d0247c5efc340</x:v>
      </x:c>
      <x:c r="B29" s="2" t="str">
        <x:v>Methanex Corporation</x:v>
      </x:c>
      <x:c r="C29" s="2" t="str">
        <x:v>Gustavo Parra</x:v>
      </x:c>
      <x:c r="D29" s="16" t="d">
        <x:v>2025-12-31T12:00:00.000Z</x:v>
      </x:c>
      <x:c r="E29" s="2" t="str">
        <x:v>other</x:v>
      </x:c>
      <x:c r="F29" s="15" t="str">
        <x:v>All Other Compensation(7)</x:v>
      </x:c>
      <x:c r="G29" s="2" t="str">
        <x:v>1,318,090</x:v>
      </x:c>
      <x:c r="H29" s="12" t="n">
        <x:v>1318090</x:v>
      </x:c>
      <x:c r="I29" s="13" t="str">
        <x:v>CAD</x:v>
      </x:c>
      <x:c r="J29" s="13" t="n">
        <x:v>1</x:v>
      </x:c>
      <x:c r="K29" s="14" t="n">
        <x:v>1</x:v>
      </x:c>
      <x:c r="L29" s="10" t="n">
        <x:f>IF(AND(ISNUMBER(H29),ISNUMBER(J29),ISNUMBER(K29)),H29*J29*K29,"")</x:f>
        <x:v>1318090</x:v>
      </x:c>
      <x:c r="M29" s="2" t="str">
        <x:v>reported</x:v>
      </x:c>
      <x:c r="N29" s="2" t="str">
        <x:v>No</x:v>
      </x:c>
      <x:c r="O29" s="17"/>
      <x:c r="P29" s="15" t="str"/>
      <x:c r="Q29" s="16" t="d">
        <x:v>2026-03-09T12:00:00.000Z</x:v>
      </x:c>
      <x:c r="R29" s="15" t="str">
        <x:v>Summary Compensation Table</x:v>
      </x:c>
      <x:c r="S29" s="2" t="n">
        <x:v>89</x:v>
      </x:c>
      <x:c r="T29" s="15" t="str">
        <x:v>methanex_circular.pdf</x:v>
      </x:c>
      <x:c r="U29" s="15" t="str">
        <x:v>https://www.methanex.com/wp-content/uploads/2026-Information-Circular.pdf</x:v>
      </x:c>
      <x:c r="V29" s="15" t="str">
        <x:v>52a00ac52176b80ff10264bb3579ff939ece4db1c590d62a2843d5bf6729e6ce</x:v>
      </x:c>
      <x:c r="W29" s="15" t="str">
        <x:v>PDF pp.89-90, SCT notes (1)-(7). Grant-date awards retained; issuer-translated CAD values retained. Annual incentive earned in year, not payment year.</x:v>
      </x:c>
      <x:c r="X29" s="15" t="str">
        <x:v>Reported table value; no award revaluation or reconstruction.</x:v>
      </x:c>
      <x:c r="Y29" s="15" t="str"/>
      <x:c r="Z29" s="2"/>
      <x:c r="AA29" s="2" t="str">
        <x:v>interfor</x:v>
      </x:c>
      <x:c r="AB29" s="2" t="n">
        <x:v>5</x:v>
      </x:c>
      <x:c r="AC29" s="2" t="n">
        <x:v>24</x:v>
      </x:c>
      <x:c r="AD29" s="15" t="str">
        <x:v>for at least one year after that date. The Meeting materials can also be accessed under</x:v>
      </x:c>
    </x:row>
    <x:row r="30" ht="48" customHeight="1">
      <x:c r="A30" s="2" t="str">
        <x:v>c9af6cd28cd27169686e</x:v>
      </x:c>
      <x:c r="B30" s="2" t="str">
        <x:v>B2Gold Corp.</x:v>
      </x:c>
      <x:c r="C30" s="2" t="str">
        <x:v>Michael Cinnamond</x:v>
      </x:c>
      <x:c r="D30" s="16" t="d">
        <x:v>2025-12-31T12:00:00.000Z</x:v>
      </x:c>
      <x:c r="E30" s="2" t="str">
        <x:v>total</x:v>
      </x:c>
      <x:c r="F30" s="15" t="str">
        <x:v>Total Compensation ($)</x:v>
      </x:c>
      <x:c r="G30" s="2" t="str">
        <x:v>2,459,943</x:v>
      </x:c>
      <x:c r="H30" s="12" t="n">
        <x:v>2459943</x:v>
      </x:c>
      <x:c r="I30" s="13" t="str">
        <x:v>USD</x:v>
      </x:c>
      <x:c r="J30" s="13" t="n">
        <x:v>1</x:v>
      </x:c>
      <x:c r="K30" s="14" t="n">
        <x:v>1.3978</x:v>
      </x:c>
      <x:c r="L30" s="10" t="n">
        <x:f>IF(AND(ISNUMBER(H30),ISNUMBER(J30),ISNUMBER(K30)),H30*J30*K30,"")</x:f>
        <x:v>3438508.3254</x:v>
      </x:c>
      <x:c r="M30" s="2" t="str">
        <x:v>reported</x:v>
      </x:c>
      <x:c r="N30" s="2" t="str">
        <x:v>Yes</x:v>
      </x:c>
      <x:c r="O30" s="17" t="n">
        <x:v>2025</x:v>
      </x:c>
      <x:c r="P30" s="15" t="str">
        <x:v>https://www.bankofcanada.ca/rates/exchange/annual-average-exchange-rates/</x:v>
      </x:c>
      <x:c r="Q30" s="16" t="d">
        <x:v>2026-04-13T12:00:00.000Z</x:v>
      </x:c>
      <x:c r="R30" s="15" t="str">
        <x:v>Summary Compensation Table</x:v>
      </x:c>
      <x:c r="S30" s="2" t="n">
        <x:v>77</x:v>
      </x:c>
      <x:c r="T30" s="15" t="str">
        <x:v>b2gold_circular.pdf</x:v>
      </x:c>
      <x:c r="U30" s="15" t="str">
        <x:v>https://s204.q4cdn.com/324791784/files/doc_downloads/2026/04/B2Gold-MIC-FYE-December-31-2025.pdf</x:v>
      </x:c>
      <x:c r="V30" s="15" t="str">
        <x:v>000bcea1d986585b3d261c785a369eb49859de5dd24837b9d487723021a0214c</x:v>
      </x:c>
      <x:c r="W30" s="15" t="str">
        <x:v>PDF p.77, SCT notes (1)-(3); currency convention PDF p.19. Annual cash bonus paid March 2026 for services in FY2025. Share awards copied as reported.</x:v>
      </x:c>
      <x:c r="X30" s="15" t="str">
        <x:v>Reported table value; no award revaluation or reconstruction.</x:v>
      </x:c>
      <x:c r="Y30" s="15" t="str"/>
      <x:c r="Z30" s="2"/>
      <x:c r="AA30" s="2" t="str">
        <x:v>interfor</x:v>
      </x:c>
      <x:c r="AB30" s="2" t="n">
        <x:v>5</x:v>
      </x:c>
      <x:c r="AC30" s="2" t="n">
        <x:v>25</x:v>
      </x:c>
      <x:c r="AD30" s="15" t="str">
        <x:v>Interfor’s profile on SEDAR+ at www.sedarplus.ca. If you have any questions about this</x:v>
      </x:c>
    </x:row>
    <x:row r="31" ht="48" customHeight="1">
      <x:c r="A31" s="2" t="str">
        <x:v>c9af6cd28cd27169686e</x:v>
      </x:c>
      <x:c r="B31" s="2" t="str">
        <x:v>B2Gold Corp.</x:v>
      </x:c>
      <x:c r="C31" s="2" t="str">
        <x:v>Michael Cinnamond</x:v>
      </x:c>
      <x:c r="D31" s="16" t="d">
        <x:v>2025-12-31T12:00:00.000Z</x:v>
      </x:c>
      <x:c r="E31" s="2" t="str">
        <x:v>salary</x:v>
      </x:c>
      <x:c r="F31" s="15" t="str">
        <x:v>Salary ($)</x:v>
      </x:c>
      <x:c r="G31" s="2" t="str">
        <x:v>474,500</x:v>
      </x:c>
      <x:c r="H31" s="12" t="n">
        <x:v>474500</x:v>
      </x:c>
      <x:c r="I31" s="13" t="str">
        <x:v>USD</x:v>
      </x:c>
      <x:c r="J31" s="13" t="n">
        <x:v>1</x:v>
      </x:c>
      <x:c r="K31" s="14" t="n">
        <x:v>1.3978</x:v>
      </x:c>
      <x:c r="L31" s="10" t="n">
        <x:f>IF(AND(ISNUMBER(H31),ISNUMBER(J31),ISNUMBER(K31)),H31*J31*K31,"")</x:f>
        <x:v>663256.1</x:v>
      </x:c>
      <x:c r="M31" s="2" t="str">
        <x:v>reported</x:v>
      </x:c>
      <x:c r="N31" s="2" t="str">
        <x:v>Yes</x:v>
      </x:c>
      <x:c r="O31" s="17" t="n">
        <x:v>2025</x:v>
      </x:c>
      <x:c r="P31" s="15" t="str">
        <x:v>https://www.bankofcanada.ca/rates/exchange/annual-average-exchange-rates/</x:v>
      </x:c>
      <x:c r="Q31" s="16" t="d">
        <x:v>2026-04-13T12:00:00.000Z</x:v>
      </x:c>
      <x:c r="R31" s="15" t="str">
        <x:v>Summary Compensation Table</x:v>
      </x:c>
      <x:c r="S31" s="2" t="n">
        <x:v>77</x:v>
      </x:c>
      <x:c r="T31" s="15" t="str">
        <x:v>b2gold_circular.pdf</x:v>
      </x:c>
      <x:c r="U31" s="15" t="str">
        <x:v>https://s204.q4cdn.com/324791784/files/doc_downloads/2026/04/B2Gold-MIC-FYE-December-31-2025.pdf</x:v>
      </x:c>
      <x:c r="V31" s="15" t="str">
        <x:v>000bcea1d986585b3d261c785a369eb49859de5dd24837b9d487723021a0214c</x:v>
      </x:c>
      <x:c r="W31" s="15" t="str">
        <x:v>PDF p.77, SCT notes (1)-(3); currency convention PDF p.19. Annual cash bonus paid March 2026 for services in FY2025. Share awards copied as reported.</x:v>
      </x:c>
      <x:c r="X31" s="15" t="str">
        <x:v>Reported table value; no award revaluation or reconstruction.</x:v>
      </x:c>
      <x:c r="Y31" s="15" t="str"/>
      <x:c r="Z31" s="2"/>
      <x:c r="AA31" s="2" t="str">
        <x:v>interfor</x:v>
      </x:c>
      <x:c r="AB31" s="2" t="n">
        <x:v>5</x:v>
      </x:c>
      <x:c r="AC31" s="2" t="n">
        <x:v>26</x:v>
      </x:c>
      <x:c r="AD31" s="15" t="str">
        <x:v>“notice and access” process, you can call Computershare Investor Services Inc. toll free (in</x:v>
      </x:c>
    </x:row>
    <x:row r="32" ht="48" customHeight="1">
      <x:c r="A32" s="2" t="str">
        <x:v>c9af6cd28cd27169686e</x:v>
      </x:c>
      <x:c r="B32" s="2" t="str">
        <x:v>B2Gold Corp.</x:v>
      </x:c>
      <x:c r="C32" s="2" t="str">
        <x:v>Michael Cinnamond</x:v>
      </x:c>
      <x:c r="D32" s="16" t="d">
        <x:v>2025-12-31T12:00:00.000Z</x:v>
      </x:c>
      <x:c r="E32" s="2" t="str">
        <x:v>share_awards</x:v>
      </x:c>
      <x:c r="F32" s="15" t="str">
        <x:v>Share-Based Awards ($)(1)</x:v>
      </x:c>
      <x:c r="G32" s="2" t="str">
        <x:v>1,547,418</x:v>
      </x:c>
      <x:c r="H32" s="12" t="n">
        <x:v>1547418</x:v>
      </x:c>
      <x:c r="I32" s="13" t="str">
        <x:v>USD</x:v>
      </x:c>
      <x:c r="J32" s="13" t="n">
        <x:v>1</x:v>
      </x:c>
      <x:c r="K32" s="14" t="n">
        <x:v>1.3978</x:v>
      </x:c>
      <x:c r="L32" s="10" t="n">
        <x:f>IF(AND(ISNUMBER(H32),ISNUMBER(J32),ISNUMBER(K32)),H32*J32*K32,"")</x:f>
        <x:v>2162980.8803999997</x:v>
      </x:c>
      <x:c r="M32" s="2" t="str">
        <x:v>reported</x:v>
      </x:c>
      <x:c r="N32" s="2" t="str">
        <x:v>Yes</x:v>
      </x:c>
      <x:c r="O32" s="17" t="n">
        <x:v>2025</x:v>
      </x:c>
      <x:c r="P32" s="15" t="str">
        <x:v>https://www.bankofcanada.ca/rates/exchange/annual-average-exchange-rates/</x:v>
      </x:c>
      <x:c r="Q32" s="16" t="d">
        <x:v>2026-04-13T12:00:00.000Z</x:v>
      </x:c>
      <x:c r="R32" s="15" t="str">
        <x:v>Summary Compensation Table</x:v>
      </x:c>
      <x:c r="S32" s="2" t="n">
        <x:v>77</x:v>
      </x:c>
      <x:c r="T32" s="15" t="str">
        <x:v>b2gold_circular.pdf</x:v>
      </x:c>
      <x:c r="U32" s="15" t="str">
        <x:v>https://s204.q4cdn.com/324791784/files/doc_downloads/2026/04/B2Gold-MIC-FYE-December-31-2025.pdf</x:v>
      </x:c>
      <x:c r="V32" s="15" t="str">
        <x:v>000bcea1d986585b3d261c785a369eb49859de5dd24837b9d487723021a0214c</x:v>
      </x:c>
      <x:c r="W32" s="15" t="str">
        <x:v>PDF p.77, SCT notes (1)-(3); currency convention PDF p.19. Annual cash bonus paid March 2026 for services in FY2025. Share awards copied as reported.</x:v>
      </x:c>
      <x:c r="X32" s="15" t="str">
        <x:v>Reported table value; no award revaluation or reconstruction.</x:v>
      </x:c>
      <x:c r="Y32" s="15" t="str"/>
      <x:c r="Z32" s="2"/>
      <x:c r="AA32" s="2" t="str">
        <x:v>interfor</x:v>
      </x:c>
      <x:c r="AB32" s="2" t="n">
        <x:v>5</x:v>
      </x:c>
      <x:c r="AC32" s="2" t="n">
        <x:v>27</x:v>
      </x:c>
      <x:c r="AD32" s="15" t="str">
        <x:v>North America) at 1-866-964-0492.</x:v>
      </x:c>
    </x:row>
    <x:row r="33" ht="48" customHeight="1">
      <x:c r="A33" s="2" t="str">
        <x:v>c9af6cd28cd27169686e</x:v>
      </x:c>
      <x:c r="B33" s="2" t="str">
        <x:v>B2Gold Corp.</x:v>
      </x:c>
      <x:c r="C33" s="2" t="str">
        <x:v>Michael Cinnamond</x:v>
      </x:c>
      <x:c r="D33" s="16" t="d">
        <x:v>2025-12-31T12:00:00.000Z</x:v>
      </x:c>
      <x:c r="E33" s="2" t="str">
        <x:v>option_awards</x:v>
      </x:c>
      <x:c r="F33" s="15" t="str">
        <x:v>Option-Based Awards ($)</x:v>
      </x:c>
      <x:c r="G33" s="2" t="str">
        <x:v>-</x:v>
      </x:c>
      <x:c r="H33" s="12"/>
      <x:c r="I33" s="13" t="str">
        <x:v>USD</x:v>
      </x:c>
      <x:c r="J33" s="13" t="n">
        <x:v>1</x:v>
      </x:c>
      <x:c r="K33" s="14"/>
      <x:c r="L33" s="10" t="str">
        <x:f>IF(AND(ISNUMBER(H33),ISNUMBER(J33),ISNUMBER(K33)),H33*J33*K33,"")</x:f>
      </x:c>
      <x:c r="M33" s="2" t="str">
        <x:v>uncertain</x:v>
      </x:c>
      <x:c r="N33" s="2" t="str">
        <x:v>No</x:v>
      </x:c>
      <x:c r="O33" s="17"/>
      <x:c r="P33" s="15" t="str"/>
      <x:c r="Q33" s="16" t="d">
        <x:v>2026-04-13T12:00:00.000Z</x:v>
      </x:c>
      <x:c r="R33" s="15" t="str">
        <x:v>Summary Compensation Table</x:v>
      </x:c>
      <x:c r="S33" s="2" t="n">
        <x:v>77</x:v>
      </x:c>
      <x:c r="T33" s="15" t="str">
        <x:v>b2gold_circular.pdf</x:v>
      </x:c>
      <x:c r="U33" s="15" t="str">
        <x:v>https://s204.q4cdn.com/324791784/files/doc_downloads/2026/04/B2Gold-MIC-FYE-December-31-2025.pdf</x:v>
      </x:c>
      <x:c r="V33" s="15" t="str">
        <x:v>000bcea1d986585b3d261c785a369eb49859de5dd24837b9d487723021a0214c</x:v>
      </x:c>
      <x:c r="W33" s="15" t="str">
        <x:v>PDF p.77, SCT notes (1)-(3); currency convention PDF p.19. Annual cash bonus paid March 2026 for services in FY2025. Share awards copied as reported.</x:v>
      </x:c>
      <x:c r="X33" s="15" t="str">
        <x:v>Reported table value; no award revaluation or reconstruction.</x:v>
      </x:c>
      <x:c r="Y33" s="15" t="str">
        <x:v>Source dash has no verified numeric meaning</x:v>
      </x:c>
      <x:c r="Z33" s="2"/>
      <x:c r="AA33" s="2" t="str">
        <x:v>interfor</x:v>
      </x:c>
      <x:c r="AB33" s="2" t="n">
        <x:v>5</x:v>
      </x:c>
      <x:c r="AC33" s="2" t="n">
        <x:v>28</x:v>
      </x:c>
      <x:c r="AD33" s="15" t="str">
        <x:v>We will mail a paper copy of the Meeting materials to any Shareholder who previously</x:v>
      </x:c>
    </x:row>
    <x:row r="34" ht="48" customHeight="1">
      <x:c r="A34" s="2" t="str">
        <x:v>c9af6cd28cd27169686e</x:v>
      </x:c>
      <x:c r="B34" s="2" t="str">
        <x:v>B2Gold Corp.</x:v>
      </x:c>
      <x:c r="C34" s="2" t="str">
        <x:v>Michael Cinnamond</x:v>
      </x:c>
      <x:c r="D34" s="16" t="d">
        <x:v>2025-12-31T12:00:00.000Z</x:v>
      </x:c>
      <x:c r="E34" s="2" t="str">
        <x:v>annual_incentive</x:v>
      </x:c>
      <x:c r="F34" s="15" t="str">
        <x:v>Annual Incentive Program ($)(2)</x:v>
      </x:c>
      <x:c r="G34" s="2" t="str">
        <x:v>379,007</x:v>
      </x:c>
      <x:c r="H34" s="12" t="n">
        <x:v>379007</x:v>
      </x:c>
      <x:c r="I34" s="13" t="str">
        <x:v>USD</x:v>
      </x:c>
      <x:c r="J34" s="13" t="n">
        <x:v>1</x:v>
      </x:c>
      <x:c r="K34" s="14" t="n">
        <x:v>1.3978</x:v>
      </x:c>
      <x:c r="L34" s="10" t="n">
        <x:f>IF(AND(ISNUMBER(H34),ISNUMBER(J34),ISNUMBER(K34)),H34*J34*K34,"")</x:f>
        <x:v>529775.9846</x:v>
      </x:c>
      <x:c r="M34" s="2" t="str">
        <x:v>reported</x:v>
      </x:c>
      <x:c r="N34" s="2" t="str">
        <x:v>Yes</x:v>
      </x:c>
      <x:c r="O34" s="17" t="n">
        <x:v>2025</x:v>
      </x:c>
      <x:c r="P34" s="15" t="str">
        <x:v>https://www.bankofcanada.ca/rates/exchange/annual-average-exchange-rates/</x:v>
      </x:c>
      <x:c r="Q34" s="16" t="d">
        <x:v>2026-04-13T12:00:00.000Z</x:v>
      </x:c>
      <x:c r="R34" s="15" t="str">
        <x:v>Summary Compensation Table</x:v>
      </x:c>
      <x:c r="S34" s="2" t="n">
        <x:v>77</x:v>
      </x:c>
      <x:c r="T34" s="15" t="str">
        <x:v>b2gold_circular.pdf</x:v>
      </x:c>
      <x:c r="U34" s="15" t="str">
        <x:v>https://s204.q4cdn.com/324791784/files/doc_downloads/2026/04/B2Gold-MIC-FYE-December-31-2025.pdf</x:v>
      </x:c>
      <x:c r="V34" s="15" t="str">
        <x:v>000bcea1d986585b3d261c785a369eb49859de5dd24837b9d487723021a0214c</x:v>
      </x:c>
      <x:c r="W34" s="15" t="str">
        <x:v>PDF p.77, SCT notes (1)-(3); currency convention PDF p.19. Annual cash bonus paid March 2026 for services in FY2025. Share awards copied as reported.</x:v>
      </x:c>
      <x:c r="X34" s="15" t="str">
        <x:v>Annual short-term incentive heading; direct mapping, no long-term amounts combined.</x:v>
      </x:c>
      <x:c r="Y34" s="15" t="str"/>
      <x:c r="Z34" s="2"/>
      <x:c r="AA34" s="2" t="str">
        <x:v>interfor</x:v>
      </x:c>
      <x:c r="AB34" s="2" t="n">
        <x:v>5</x:v>
      </x:c>
      <x:c r="AC34" s="2" t="n">
        <x:v>29</x:v>
      </x:c>
      <x:c r="AD34" s="15" t="str">
        <x:v>requested a paper copy. If you received only the Short Form Notice and would like a paper</x:v>
      </x:c>
    </x:row>
    <x:row r="35" ht="48" customHeight="1">
      <x:c r="A35" s="2" t="str">
        <x:v>c9af6cd28cd27169686e</x:v>
      </x:c>
      <x:c r="B35" s="2" t="str">
        <x:v>B2Gold Corp.</x:v>
      </x:c>
      <x:c r="C35" s="2" t="str">
        <x:v>Michael Cinnamond</x:v>
      </x:c>
      <x:c r="D35" s="16" t="d">
        <x:v>2025-12-31T12:00:00.000Z</x:v>
      </x:c>
      <x:c r="E35" s="2" t="str">
        <x:v>long_term_incentive</x:v>
      </x:c>
      <x:c r="F35" s="15" t="str">
        <x:v>Long-Term Incentive Plans ($)</x:v>
      </x:c>
      <x:c r="G35" s="2" t="str">
        <x:v>-</x:v>
      </x:c>
      <x:c r="H35" s="12"/>
      <x:c r="I35" s="13" t="str">
        <x:v>USD</x:v>
      </x:c>
      <x:c r="J35" s="13" t="n">
        <x:v>1</x:v>
      </x:c>
      <x:c r="K35" s="14"/>
      <x:c r="L35" s="10" t="str">
        <x:f>IF(AND(ISNUMBER(H35),ISNUMBER(J35),ISNUMBER(K35)),H35*J35*K35,"")</x:f>
      </x:c>
      <x:c r="M35" s="2" t="str">
        <x:v>uncertain</x:v>
      </x:c>
      <x:c r="N35" s="2" t="str">
        <x:v>No</x:v>
      </x:c>
      <x:c r="O35" s="17"/>
      <x:c r="P35" s="15" t="str"/>
      <x:c r="Q35" s="16" t="d">
        <x:v>2026-04-13T12:00:00.000Z</x:v>
      </x:c>
      <x:c r="R35" s="15" t="str">
        <x:v>Summary Compensation Table</x:v>
      </x:c>
      <x:c r="S35" s="2" t="n">
        <x:v>77</x:v>
      </x:c>
      <x:c r="T35" s="15" t="str">
        <x:v>b2gold_circular.pdf</x:v>
      </x:c>
      <x:c r="U35" s="15" t="str">
        <x:v>https://s204.q4cdn.com/324791784/files/doc_downloads/2026/04/B2Gold-MIC-FYE-December-31-2025.pdf</x:v>
      </x:c>
      <x:c r="V35" s="15" t="str">
        <x:v>000bcea1d986585b3d261c785a369eb49859de5dd24837b9d487723021a0214c</x:v>
      </x:c>
      <x:c r="W35" s="15" t="str">
        <x:v>PDF p.77, SCT notes (1)-(3); currency convention PDF p.19. Annual cash bonus paid March 2026 for services in FY2025. Share awards copied as reported.</x:v>
      </x:c>
      <x:c r="X35" s="15" t="str">
        <x:v>Reported table value; no award revaluation or reconstruction.</x:v>
      </x:c>
      <x:c r="Y35" s="15" t="str">
        <x:v>Source dash has no verified numeric meaning</x:v>
      </x:c>
      <x:c r="Z35" s="2"/>
      <x:c r="AA35" s="2" t="str">
        <x:v>interfor</x:v>
      </x:c>
      <x:c r="AB35" s="2" t="n">
        <x:v>5</x:v>
      </x:c>
      <x:c r="AC35" s="2" t="n">
        <x:v>30</x:v>
      </x:c>
      <x:c r="AD35" s="15" t="str">
        <x:v>copy of the Meeting materials please call us at 1-844-210-2879.</x:v>
      </x:c>
    </x:row>
    <x:row r="36" ht="48" customHeight="1">
      <x:c r="A36" s="2" t="str">
        <x:v>c9af6cd28cd27169686e</x:v>
      </x:c>
      <x:c r="B36" s="2" t="str">
        <x:v>B2Gold Corp.</x:v>
      </x:c>
      <x:c r="C36" s="2" t="str">
        <x:v>Michael Cinnamond</x:v>
      </x:c>
      <x:c r="D36" s="16" t="d">
        <x:v>2025-12-31T12:00:00.000Z</x:v>
      </x:c>
      <x:c r="E36" s="2" t="str">
        <x:v>pension</x:v>
      </x:c>
      <x:c r="F36" s="15"/>
      <x:c r="G36" s="2"/>
      <x:c r="H36" s="12"/>
      <x:c r="I36" s="13" t="str">
        <x:v>USD</x:v>
      </x:c>
      <x:c r="J36" s="13" t="n">
        <x:v>1</x:v>
      </x:c>
      <x:c r="K36" s="14"/>
      <x:c r="L36" s="10" t="str">
        <x:f>IF(AND(ISNUMBER(H36),ISNUMBER(J36),ISNUMBER(K36)),H36*J36*K36,"")</x:f>
      </x:c>
      <x:c r="M36" s="2" t="str">
        <x:v>not_disclosed</x:v>
      </x:c>
      <x:c r="N36" s="2" t="str">
        <x:v>No</x:v>
      </x:c>
      <x:c r="O36" s="17"/>
      <x:c r="P36" s="15" t="str"/>
      <x:c r="Q36" s="16" t="d">
        <x:v>2026-04-13T12:00:00.000Z</x:v>
      </x:c>
      <x:c r="R36" s="15" t="str">
        <x:v>Summary Compensation Table</x:v>
      </x:c>
      <x:c r="S36" s="2" t="n">
        <x:v>77</x:v>
      </x:c>
      <x:c r="T36" s="15" t="str">
        <x:v>b2gold_circular.pdf</x:v>
      </x:c>
      <x:c r="U36" s="15" t="str">
        <x:v>https://s204.q4cdn.com/324791784/files/doc_downloads/2026/04/B2Gold-MIC-FYE-December-31-2025.pdf</x:v>
      </x:c>
      <x:c r="V36" s="15" t="str">
        <x:v>000bcea1d986585b3d261c785a369eb49859de5dd24837b9d487723021a0214c</x:v>
      </x:c>
      <x:c r="W36" s="15" t="str">
        <x:v>PDF p.77, SCT notes (1)-(3); currency convention PDF p.19. Annual cash bonus paid March 2026 for services in FY2025. Share awards copied as reported.</x:v>
      </x:c>
      <x:c r="X36" s="15" t="str">
        <x:v>No amount inferred from other fields.</x:v>
      </x:c>
      <x:c r="Y36" s="15" t="str">
        <x:v>No separate column in the Summary Compensation Table</x:v>
      </x:c>
      <x:c r="Z36" s="2"/>
      <x:c r="AA36" s="2" t="str">
        <x:v>interfor</x:v>
      </x:c>
      <x:c r="AB36" s="2" t="n">
        <x:v>5</x:v>
      </x:c>
      <x:c r="AC36" s="2" t="n">
        <x:v>31</x:v>
      </x:c>
      <x:c r="AD36" s="15" t="str">
        <x:v>If you are a beneficial Shareholder who has not objected to the Company being given your</x:v>
      </x:c>
    </x:row>
    <x:row r="37" ht="48" customHeight="1">
      <x:c r="A37" s="2" t="str">
        <x:v>c9af6cd28cd27169686e</x:v>
      </x:c>
      <x:c r="B37" s="2" t="str">
        <x:v>B2Gold Corp.</x:v>
      </x:c>
      <x:c r="C37" s="2" t="str">
        <x:v>Michael Cinnamond</x:v>
      </x:c>
      <x:c r="D37" s="16" t="d">
        <x:v>2025-12-31T12:00:00.000Z</x:v>
      </x:c>
      <x:c r="E37" s="2" t="str">
        <x:v>other</x:v>
      </x:c>
      <x:c r="F37" s="15" t="str">
        <x:v>All Other Compensation ($)(3)</x:v>
      </x:c>
      <x:c r="G37" s="2" t="str">
        <x:v>59,018</x:v>
      </x:c>
      <x:c r="H37" s="12" t="n">
        <x:v>59018</x:v>
      </x:c>
      <x:c r="I37" s="13" t="str">
        <x:v>USD</x:v>
      </x:c>
      <x:c r="J37" s="13" t="n">
        <x:v>1</x:v>
      </x:c>
      <x:c r="K37" s="14" t="n">
        <x:v>1.3978</x:v>
      </x:c>
      <x:c r="L37" s="10" t="n">
        <x:f>IF(AND(ISNUMBER(H37),ISNUMBER(J37),ISNUMBER(K37)),H37*J37*K37,"")</x:f>
        <x:v>82495.36039999999</x:v>
      </x:c>
      <x:c r="M37" s="2" t="str">
        <x:v>reported</x:v>
      </x:c>
      <x:c r="N37" s="2" t="str">
        <x:v>Yes</x:v>
      </x:c>
      <x:c r="O37" s="17" t="n">
        <x:v>2025</x:v>
      </x:c>
      <x:c r="P37" s="15" t="str">
        <x:v>https://www.bankofcanada.ca/rates/exchange/annual-average-exchange-rates/</x:v>
      </x:c>
      <x:c r="Q37" s="16" t="d">
        <x:v>2026-04-13T12:00:00.000Z</x:v>
      </x:c>
      <x:c r="R37" s="15" t="str">
        <x:v>Summary Compensation Table</x:v>
      </x:c>
      <x:c r="S37" s="2" t="n">
        <x:v>77</x:v>
      </x:c>
      <x:c r="T37" s="15" t="str">
        <x:v>b2gold_circular.pdf</x:v>
      </x:c>
      <x:c r="U37" s="15" t="str">
        <x:v>https://s204.q4cdn.com/324791784/files/doc_downloads/2026/04/B2Gold-MIC-FYE-December-31-2025.pdf</x:v>
      </x:c>
      <x:c r="V37" s="15" t="str">
        <x:v>000bcea1d986585b3d261c785a369eb49859de5dd24837b9d487723021a0214c</x:v>
      </x:c>
      <x:c r="W37" s="15" t="str">
        <x:v>PDF p.77, SCT notes (1)-(3); currency convention PDF p.19. Annual cash bonus paid March 2026 for services in FY2025. Share awards copied as reported.</x:v>
      </x:c>
      <x:c r="X37" s="15" t="str">
        <x:v>Reported table value; no award revaluation or reconstruction.</x:v>
      </x:c>
      <x:c r="Y37" s="15" t="str"/>
      <x:c r="Z37" s="2"/>
      <x:c r="AA37" s="2" t="str">
        <x:v>interfor</x:v>
      </x:c>
      <x:c r="AB37" s="2" t="n">
        <x:v>5</x:v>
      </x:c>
      <x:c r="AC37" s="2" t="n">
        <x:v>32</x:v>
      </x:c>
      <x:c r="AD37" s="15" t="str">
        <x:v>name, address and the number of Shares you hold, then we will send the Short Form Notice</x:v>
      </x:c>
    </x:row>
    <x:row r="38" ht="48" customHeight="1">
      <x:c r="A38" s="2" t="str">
        <x:v>54b9763dd55e4181a066</x:v>
      </x:c>
      <x:c r="B38" s="2" t="str">
        <x:v>B2Gold Corp.</x:v>
      </x:c>
      <x:c r="C38" s="2" t="str">
        <x:v>William Lytle</x:v>
      </x:c>
      <x:c r="D38" s="16" t="d">
        <x:v>2025-12-31T12:00:00.000Z</x:v>
      </x:c>
      <x:c r="E38" s="2" t="str">
        <x:v>total</x:v>
      </x:c>
      <x:c r="F38" s="15" t="str">
        <x:v>Total Compensation ($)</x:v>
      </x:c>
      <x:c r="G38" s="2" t="str">
        <x:v>2,455,442</x:v>
      </x:c>
      <x:c r="H38" s="12" t="n">
        <x:v>2455442</x:v>
      </x:c>
      <x:c r="I38" s="13" t="str">
        <x:v>USD</x:v>
      </x:c>
      <x:c r="J38" s="13" t="n">
        <x:v>1</x:v>
      </x:c>
      <x:c r="K38" s="14" t="n">
        <x:v>1.3978</x:v>
      </x:c>
      <x:c r="L38" s="10" t="n">
        <x:f>IF(AND(ISNUMBER(H38),ISNUMBER(J38),ISNUMBER(K38)),H38*J38*K38,"")</x:f>
        <x:v>3432216.8276</x:v>
      </x:c>
      <x:c r="M38" s="2" t="str">
        <x:v>reported</x:v>
      </x:c>
      <x:c r="N38" s="2" t="str">
        <x:v>Yes</x:v>
      </x:c>
      <x:c r="O38" s="17" t="n">
        <x:v>2025</x:v>
      </x:c>
      <x:c r="P38" s="15" t="str">
        <x:v>https://www.bankofcanada.ca/rates/exchange/annual-average-exchange-rates/</x:v>
      </x:c>
      <x:c r="Q38" s="16" t="d">
        <x:v>2026-04-13T12:00:00.000Z</x:v>
      </x:c>
      <x:c r="R38" s="15" t="str">
        <x:v>Summary Compensation Table</x:v>
      </x:c>
      <x:c r="S38" s="2" t="n">
        <x:v>77</x:v>
      </x:c>
      <x:c r="T38" s="15" t="str">
        <x:v>b2gold_circular.pdf</x:v>
      </x:c>
      <x:c r="U38" s="15" t="str">
        <x:v>https://s204.q4cdn.com/324791784/files/doc_downloads/2026/04/B2Gold-MIC-FYE-December-31-2025.pdf</x:v>
      </x:c>
      <x:c r="V38" s="15" t="str">
        <x:v>000bcea1d986585b3d261c785a369eb49859de5dd24837b9d487723021a0214c</x:v>
      </x:c>
      <x:c r="W38" s="15" t="str">
        <x:v>PDF p.77, SCT notes (1)-(3); currency convention PDF p.19. Annual cash bonus paid March 2026 for services in FY2025. Share awards copied as reported.</x:v>
      </x:c>
      <x:c r="X38" s="15" t="str">
        <x:v>Reported table value; no award revaluation or reconstruction.</x:v>
      </x:c>
      <x:c r="Y38" s="15" t="str"/>
      <x:c r="Z38" s="2"/>
      <x:c r="AA38" s="2" t="str">
        <x:v>interfor</x:v>
      </x:c>
      <x:c r="AB38" s="2" t="n">
        <x:v>5</x:v>
      </x:c>
      <x:c r="AC38" s="2" t="n">
        <x:v>33</x:v>
      </x:c>
      <x:c r="AD38" s="15" t="str">
        <x:v>and associated materials to you in accordance with applicable securities regulatory</x:v>
      </x:c>
    </x:row>
    <x:row r="39" ht="48" customHeight="1">
      <x:c r="A39" s="2" t="str">
        <x:v>54b9763dd55e4181a066</x:v>
      </x:c>
      <x:c r="B39" s="2" t="str">
        <x:v>B2Gold Corp.</x:v>
      </x:c>
      <x:c r="C39" s="2" t="str">
        <x:v>William Lytle</x:v>
      </x:c>
      <x:c r="D39" s="16" t="d">
        <x:v>2025-12-31T12:00:00.000Z</x:v>
      </x:c>
      <x:c r="E39" s="2" t="str">
        <x:v>salary</x:v>
      </x:c>
      <x:c r="F39" s="15" t="str">
        <x:v>Salary ($)</x:v>
      </x:c>
      <x:c r="G39" s="2" t="str">
        <x:v>474,500</x:v>
      </x:c>
      <x:c r="H39" s="12" t="n">
        <x:v>474500</x:v>
      </x:c>
      <x:c r="I39" s="13" t="str">
        <x:v>USD</x:v>
      </x:c>
      <x:c r="J39" s="13" t="n">
        <x:v>1</x:v>
      </x:c>
      <x:c r="K39" s="14" t="n">
        <x:v>1.3978</x:v>
      </x:c>
      <x:c r="L39" s="10" t="n">
        <x:f>IF(AND(ISNUMBER(H39),ISNUMBER(J39),ISNUMBER(K39)),H39*J39*K39,"")</x:f>
        <x:v>663256.1</x:v>
      </x:c>
      <x:c r="M39" s="2" t="str">
        <x:v>reported</x:v>
      </x:c>
      <x:c r="N39" s="2" t="str">
        <x:v>Yes</x:v>
      </x:c>
      <x:c r="O39" s="17" t="n">
        <x:v>2025</x:v>
      </x:c>
      <x:c r="P39" s="15" t="str">
        <x:v>https://www.bankofcanada.ca/rates/exchange/annual-average-exchange-rates/</x:v>
      </x:c>
      <x:c r="Q39" s="16" t="d">
        <x:v>2026-04-13T12:00:00.000Z</x:v>
      </x:c>
      <x:c r="R39" s="15" t="str">
        <x:v>Summary Compensation Table</x:v>
      </x:c>
      <x:c r="S39" s="2" t="n">
        <x:v>77</x:v>
      </x:c>
      <x:c r="T39" s="15" t="str">
        <x:v>b2gold_circular.pdf</x:v>
      </x:c>
      <x:c r="U39" s="15" t="str">
        <x:v>https://s204.q4cdn.com/324791784/files/doc_downloads/2026/04/B2Gold-MIC-FYE-December-31-2025.pdf</x:v>
      </x:c>
      <x:c r="V39" s="15" t="str">
        <x:v>000bcea1d986585b3d261c785a369eb49859de5dd24837b9d487723021a0214c</x:v>
      </x:c>
      <x:c r="W39" s="15" t="str">
        <x:v>PDF p.77, SCT notes (1)-(3); currency convention PDF p.19. Annual cash bonus paid March 2026 for services in FY2025. Share awards copied as reported.</x:v>
      </x:c>
      <x:c r="X39" s="15" t="str">
        <x:v>Reported table value; no award revaluation or reconstruction.</x:v>
      </x:c>
      <x:c r="Y39" s="15" t="str"/>
      <x:c r="Z39" s="2"/>
      <x:c r="AA39" s="2" t="str">
        <x:v>interfor</x:v>
      </x:c>
      <x:c r="AB39" s="2" t="n">
        <x:v>5</x:v>
      </x:c>
      <x:c r="AC39" s="2" t="n">
        <x:v>34</x:v>
      </x:c>
      <x:c r="AD39" s="15" t="str">
        <x:v>requirements. If you are an objecting beneficial Shareholder, then Interfor will pay for</x:v>
      </x:c>
    </x:row>
    <x:row r="40" ht="48" customHeight="1">
      <x:c r="A40" s="2" t="str">
        <x:v>54b9763dd55e4181a066</x:v>
      </x:c>
      <x:c r="B40" s="2" t="str">
        <x:v>B2Gold Corp.</x:v>
      </x:c>
      <x:c r="C40" s="2" t="str">
        <x:v>William Lytle</x:v>
      </x:c>
      <x:c r="D40" s="16" t="d">
        <x:v>2025-12-31T12:00:00.000Z</x:v>
      </x:c>
      <x:c r="E40" s="2" t="str">
        <x:v>share_awards</x:v>
      </x:c>
      <x:c r="F40" s="15" t="str">
        <x:v>Share-Based Awards ($)(1)</x:v>
      </x:c>
      <x:c r="G40" s="2" t="str">
        <x:v>1,547,418</x:v>
      </x:c>
      <x:c r="H40" s="12" t="n">
        <x:v>1547418</x:v>
      </x:c>
      <x:c r="I40" s="13" t="str">
        <x:v>USD</x:v>
      </x:c>
      <x:c r="J40" s="13" t="n">
        <x:v>1</x:v>
      </x:c>
      <x:c r="K40" s="14" t="n">
        <x:v>1.3978</x:v>
      </x:c>
      <x:c r="L40" s="10" t="n">
        <x:f>IF(AND(ISNUMBER(H40),ISNUMBER(J40),ISNUMBER(K40)),H40*J40*K40,"")</x:f>
        <x:v>2162980.8803999997</x:v>
      </x:c>
      <x:c r="M40" s="2" t="str">
        <x:v>reported</x:v>
      </x:c>
      <x:c r="N40" s="2" t="str">
        <x:v>Yes</x:v>
      </x:c>
      <x:c r="O40" s="17" t="n">
        <x:v>2025</x:v>
      </x:c>
      <x:c r="P40" s="15" t="str">
        <x:v>https://www.bankofcanada.ca/rates/exchange/annual-average-exchange-rates/</x:v>
      </x:c>
      <x:c r="Q40" s="16" t="d">
        <x:v>2026-04-13T12:00:00.000Z</x:v>
      </x:c>
      <x:c r="R40" s="15" t="str">
        <x:v>Summary Compensation Table</x:v>
      </x:c>
      <x:c r="S40" s="2" t="n">
        <x:v>77</x:v>
      </x:c>
      <x:c r="T40" s="15" t="str">
        <x:v>b2gold_circular.pdf</x:v>
      </x:c>
      <x:c r="U40" s="15" t="str">
        <x:v>https://s204.q4cdn.com/324791784/files/doc_downloads/2026/04/B2Gold-MIC-FYE-December-31-2025.pdf</x:v>
      </x:c>
      <x:c r="V40" s="15" t="str">
        <x:v>000bcea1d986585b3d261c785a369eb49859de5dd24837b9d487723021a0214c</x:v>
      </x:c>
      <x:c r="W40" s="15" t="str">
        <x:v>PDF p.77, SCT notes (1)-(3); currency convention PDF p.19. Annual cash bonus paid March 2026 for services in FY2025. Share awards copied as reported.</x:v>
      </x:c>
      <x:c r="X40" s="15" t="str">
        <x:v>Reported table value; no award revaluation or reconstruction.</x:v>
      </x:c>
      <x:c r="Y40" s="15" t="str"/>
      <x:c r="Z40" s="2"/>
      <x:c r="AA40" s="2" t="str">
        <x:v>interfor</x:v>
      </x:c>
      <x:c r="AB40" s="2" t="n">
        <x:v>5</x:v>
      </x:c>
      <x:c r="AC40" s="2" t="n">
        <x:v>35</x:v>
      </x:c>
      <x:c r="AD40" s="15" t="str">
        <x:v>clearing agencies and intermediaries to deliver to you the Short Form Notice and associated</x:v>
      </x:c>
    </x:row>
    <x:row r="41" ht="48" customHeight="1">
      <x:c r="A41" s="2" t="str">
        <x:v>54b9763dd55e4181a066</x:v>
      </x:c>
      <x:c r="B41" s="2" t="str">
        <x:v>B2Gold Corp.</x:v>
      </x:c>
      <x:c r="C41" s="2" t="str">
        <x:v>William Lytle</x:v>
      </x:c>
      <x:c r="D41" s="16" t="d">
        <x:v>2025-12-31T12:00:00.000Z</x:v>
      </x:c>
      <x:c r="E41" s="2" t="str">
        <x:v>option_awards</x:v>
      </x:c>
      <x:c r="F41" s="15" t="str">
        <x:v>Option-Based Awards ($)</x:v>
      </x:c>
      <x:c r="G41" s="2" t="str">
        <x:v>-</x:v>
      </x:c>
      <x:c r="H41" s="12"/>
      <x:c r="I41" s="13" t="str">
        <x:v>USD</x:v>
      </x:c>
      <x:c r="J41" s="13" t="n">
        <x:v>1</x:v>
      </x:c>
      <x:c r="K41" s="14"/>
      <x:c r="L41" s="10" t="str">
        <x:f>IF(AND(ISNUMBER(H41),ISNUMBER(J41),ISNUMBER(K41)),H41*J41*K41,"")</x:f>
      </x:c>
      <x:c r="M41" s="2" t="str">
        <x:v>uncertain</x:v>
      </x:c>
      <x:c r="N41" s="2" t="str">
        <x:v>No</x:v>
      </x:c>
      <x:c r="O41" s="17"/>
      <x:c r="P41" s="15" t="str"/>
      <x:c r="Q41" s="16" t="d">
        <x:v>2026-04-13T12:00:00.000Z</x:v>
      </x:c>
      <x:c r="R41" s="15" t="str">
        <x:v>Summary Compensation Table</x:v>
      </x:c>
      <x:c r="S41" s="2" t="n">
        <x:v>77</x:v>
      </x:c>
      <x:c r="T41" s="15" t="str">
        <x:v>b2gold_circular.pdf</x:v>
      </x:c>
      <x:c r="U41" s="15" t="str">
        <x:v>https://s204.q4cdn.com/324791784/files/doc_downloads/2026/04/B2Gold-MIC-FYE-December-31-2025.pdf</x:v>
      </x:c>
      <x:c r="V41" s="15" t="str">
        <x:v>000bcea1d986585b3d261c785a369eb49859de5dd24837b9d487723021a0214c</x:v>
      </x:c>
      <x:c r="W41" s="15" t="str">
        <x:v>PDF p.77, SCT notes (1)-(3); currency convention PDF p.19. Annual cash bonus paid March 2026 for services in FY2025. Share awards copied as reported.</x:v>
      </x:c>
      <x:c r="X41" s="15" t="str">
        <x:v>Reported table value; no award revaluation or reconstruction.</x:v>
      </x:c>
      <x:c r="Y41" s="15" t="str">
        <x:v>Source dash has no verified numeric meaning</x:v>
      </x:c>
      <x:c r="Z41" s="2"/>
      <x:c r="AA41" s="2" t="str">
        <x:v>interfor</x:v>
      </x:c>
      <x:c r="AB41" s="2" t="n">
        <x:v>5</x:v>
      </x:c>
      <x:c r="AC41" s="2" t="n">
        <x:v>36</x:v>
      </x:c>
      <x:c r="AD41" s="15" t="str">
        <x:v>materials.</x:v>
      </x:c>
    </x:row>
    <x:row r="42" ht="48" customHeight="1">
      <x:c r="A42" s="2" t="str">
        <x:v>54b9763dd55e4181a066</x:v>
      </x:c>
      <x:c r="B42" s="2" t="str">
        <x:v>B2Gold Corp.</x:v>
      </x:c>
      <x:c r="C42" s="2" t="str">
        <x:v>William Lytle</x:v>
      </x:c>
      <x:c r="D42" s="16" t="d">
        <x:v>2025-12-31T12:00:00.000Z</x:v>
      </x:c>
      <x:c r="E42" s="2" t="str">
        <x:v>annual_incentive</x:v>
      </x:c>
      <x:c r="F42" s="15" t="str">
        <x:v>Annual Incentive Program ($)(2)</x:v>
      </x:c>
      <x:c r="G42" s="2" t="str">
        <x:v>379,007</x:v>
      </x:c>
      <x:c r="H42" s="12" t="n">
        <x:v>379007</x:v>
      </x:c>
      <x:c r="I42" s="13" t="str">
        <x:v>USD</x:v>
      </x:c>
      <x:c r="J42" s="13" t="n">
        <x:v>1</x:v>
      </x:c>
      <x:c r="K42" s="14" t="n">
        <x:v>1.3978</x:v>
      </x:c>
      <x:c r="L42" s="10" t="n">
        <x:f>IF(AND(ISNUMBER(H42),ISNUMBER(J42),ISNUMBER(K42)),H42*J42*K42,"")</x:f>
        <x:v>529775.9846</x:v>
      </x:c>
      <x:c r="M42" s="2" t="str">
        <x:v>reported</x:v>
      </x:c>
      <x:c r="N42" s="2" t="str">
        <x:v>Yes</x:v>
      </x:c>
      <x:c r="O42" s="17" t="n">
        <x:v>2025</x:v>
      </x:c>
      <x:c r="P42" s="15" t="str">
        <x:v>https://www.bankofcanada.ca/rates/exchange/annual-average-exchange-rates/</x:v>
      </x:c>
      <x:c r="Q42" s="16" t="d">
        <x:v>2026-04-13T12:00:00.000Z</x:v>
      </x:c>
      <x:c r="R42" s="15" t="str">
        <x:v>Summary Compensation Table</x:v>
      </x:c>
      <x:c r="S42" s="2" t="n">
        <x:v>77</x:v>
      </x:c>
      <x:c r="T42" s="15" t="str">
        <x:v>b2gold_circular.pdf</x:v>
      </x:c>
      <x:c r="U42" s="15" t="str">
        <x:v>https://s204.q4cdn.com/324791784/files/doc_downloads/2026/04/B2Gold-MIC-FYE-December-31-2025.pdf</x:v>
      </x:c>
      <x:c r="V42" s="15" t="str">
        <x:v>000bcea1d986585b3d261c785a369eb49859de5dd24837b9d487723021a0214c</x:v>
      </x:c>
      <x:c r="W42" s="15" t="str">
        <x:v>PDF p.77, SCT notes (1)-(3); currency convention PDF p.19. Annual cash bonus paid March 2026 for services in FY2025. Share awards copied as reported.</x:v>
      </x:c>
      <x:c r="X42" s="15" t="str">
        <x:v>Annual short-term incentive heading; direct mapping, no long-term amounts combined.</x:v>
      </x:c>
      <x:c r="Y42" s="15" t="str"/>
      <x:c r="Z42" s="2"/>
      <x:c r="AA42" s="2" t="str">
        <x:v>interfor</x:v>
      </x:c>
      <x:c r="AB42" s="2" t="n">
        <x:v>5</x:v>
      </x:c>
      <x:c r="AC42" s="2" t="n">
        <x:v>37</x:v>
      </x:c>
      <x:c r="AD42" s="15" t="str">
        <x:v>INTERFOR 2026 4</x:v>
      </x:c>
    </x:row>
    <x:row r="43" ht="48" customHeight="1">
      <x:c r="A43" s="2" t="str">
        <x:v>54b9763dd55e4181a066</x:v>
      </x:c>
      <x:c r="B43" s="2" t="str">
        <x:v>B2Gold Corp.</x:v>
      </x:c>
      <x:c r="C43" s="2" t="str">
        <x:v>William Lytle</x:v>
      </x:c>
      <x:c r="D43" s="16" t="d">
        <x:v>2025-12-31T12:00:00.000Z</x:v>
      </x:c>
      <x:c r="E43" s="2" t="str">
        <x:v>long_term_incentive</x:v>
      </x:c>
      <x:c r="F43" s="15" t="str">
        <x:v>Long-Term Incentive Plans ($)</x:v>
      </x:c>
      <x:c r="G43" s="2" t="str">
        <x:v>-</x:v>
      </x:c>
      <x:c r="H43" s="12"/>
      <x:c r="I43" s="13" t="str">
        <x:v>USD</x:v>
      </x:c>
      <x:c r="J43" s="13" t="n">
        <x:v>1</x:v>
      </x:c>
      <x:c r="K43" s="14"/>
      <x:c r="L43" s="10" t="str">
        <x:f>IF(AND(ISNUMBER(H43),ISNUMBER(J43),ISNUMBER(K43)),H43*J43*K43,"")</x:f>
      </x:c>
      <x:c r="M43" s="2" t="str">
        <x:v>uncertain</x:v>
      </x:c>
      <x:c r="N43" s="2" t="str">
        <x:v>No</x:v>
      </x:c>
      <x:c r="O43" s="17"/>
      <x:c r="P43" s="15" t="str"/>
      <x:c r="Q43" s="16" t="d">
        <x:v>2026-04-13T12:00:00.000Z</x:v>
      </x:c>
      <x:c r="R43" s="15" t="str">
        <x:v>Summary Compensation Table</x:v>
      </x:c>
      <x:c r="S43" s="2" t="n">
        <x:v>77</x:v>
      </x:c>
      <x:c r="T43" s="15" t="str">
        <x:v>b2gold_circular.pdf</x:v>
      </x:c>
      <x:c r="U43" s="15" t="str">
        <x:v>https://s204.q4cdn.com/324791784/files/doc_downloads/2026/04/B2Gold-MIC-FYE-December-31-2025.pdf</x:v>
      </x:c>
      <x:c r="V43" s="15" t="str">
        <x:v>000bcea1d986585b3d261c785a369eb49859de5dd24837b9d487723021a0214c</x:v>
      </x:c>
      <x:c r="W43" s="15" t="str">
        <x:v>PDF p.77, SCT notes (1)-(3); currency convention PDF p.19. Annual cash bonus paid March 2026 for services in FY2025. Share awards copied as reported.</x:v>
      </x:c>
      <x:c r="X43" s="15" t="str">
        <x:v>Reported table value; no award revaluation or reconstruction.</x:v>
      </x:c>
      <x:c r="Y43" s="15" t="str">
        <x:v>Source dash has no verified numeric meaning</x:v>
      </x:c>
      <x:c r="Z43" s="2"/>
      <x:c r="AA43" s="2" t="str">
        <x:v>interfor</x:v>
      </x:c>
      <x:c r="AB43" s="2" t="n">
        <x:v>5</x:v>
      </x:c>
      <x:c r="AC43" s="2" t="n">
        <x:v>38</x:v>
      </x:c>
      <x:c r="AD43" s="15" t="str">
        <x:v>Information Circular</x:v>
      </x:c>
    </x:row>
    <x:row r="44" ht="48" customHeight="1">
      <x:c r="A44" s="2" t="str">
        <x:v>54b9763dd55e4181a066</x:v>
      </x:c>
      <x:c r="B44" s="2" t="str">
        <x:v>B2Gold Corp.</x:v>
      </x:c>
      <x:c r="C44" s="2" t="str">
        <x:v>William Lytle</x:v>
      </x:c>
      <x:c r="D44" s="16" t="d">
        <x:v>2025-12-31T12:00:00.000Z</x:v>
      </x:c>
      <x:c r="E44" s="2" t="str">
        <x:v>pension</x:v>
      </x:c>
      <x:c r="F44" s="15"/>
      <x:c r="G44" s="2"/>
      <x:c r="H44" s="12"/>
      <x:c r="I44" s="13" t="str">
        <x:v>USD</x:v>
      </x:c>
      <x:c r="J44" s="13" t="n">
        <x:v>1</x:v>
      </x:c>
      <x:c r="K44" s="14"/>
      <x:c r="L44" s="10" t="str">
        <x:f>IF(AND(ISNUMBER(H44),ISNUMBER(J44),ISNUMBER(K44)),H44*J44*K44,"")</x:f>
      </x:c>
      <x:c r="M44" s="2" t="str">
        <x:v>not_disclosed</x:v>
      </x:c>
      <x:c r="N44" s="2" t="str">
        <x:v>No</x:v>
      </x:c>
      <x:c r="O44" s="17"/>
      <x:c r="P44" s="15" t="str"/>
      <x:c r="Q44" s="16" t="d">
        <x:v>2026-04-13T12:00:00.000Z</x:v>
      </x:c>
      <x:c r="R44" s="15" t="str">
        <x:v>Summary Compensation Table</x:v>
      </x:c>
      <x:c r="S44" s="2" t="n">
        <x:v>77</x:v>
      </x:c>
      <x:c r="T44" s="15" t="str">
        <x:v>b2gold_circular.pdf</x:v>
      </x:c>
      <x:c r="U44" s="15" t="str">
        <x:v>https://s204.q4cdn.com/324791784/files/doc_downloads/2026/04/B2Gold-MIC-FYE-December-31-2025.pdf</x:v>
      </x:c>
      <x:c r="V44" s="15" t="str">
        <x:v>000bcea1d986585b3d261c785a369eb49859de5dd24837b9d487723021a0214c</x:v>
      </x:c>
      <x:c r="W44" s="15" t="str">
        <x:v>PDF p.77, SCT notes (1)-(3); currency convention PDF p.19. Annual cash bonus paid March 2026 for services in FY2025. Share awards copied as reported.</x:v>
      </x:c>
      <x:c r="X44" s="15" t="str">
        <x:v>No amount inferred from other fields.</x:v>
      </x:c>
      <x:c r="Y44" s="15" t="str">
        <x:v>No separate column in the Summary Compensation Table</x:v>
      </x:c>
      <x:c r="Z44" s="2"/>
      <x:c r="AA44" s="2" t="str">
        <x:v>interfor</x:v>
      </x:c>
      <x:c r="AB44" s="2" t="n">
        <x:v>54</x:v>
      </x:c>
      <x:c r="AC44" s="2" t="n">
        <x:v>1</x:v>
      </x:c>
      <x:c r="AD44" s="15" t="str">
        <x:v>SUMMARY COMPENSATION TABLE</x:v>
      </x:c>
    </x:row>
    <x:row r="45" ht="48" customHeight="1">
      <x:c r="A45" s="2" t="str">
        <x:v>54b9763dd55e4181a066</x:v>
      </x:c>
      <x:c r="B45" s="2" t="str">
        <x:v>B2Gold Corp.</x:v>
      </x:c>
      <x:c r="C45" s="2" t="str">
        <x:v>William Lytle</x:v>
      </x:c>
      <x:c r="D45" s="16" t="d">
        <x:v>2025-12-31T12:00:00.000Z</x:v>
      </x:c>
      <x:c r="E45" s="2" t="str">
        <x:v>other</x:v>
      </x:c>
      <x:c r="F45" s="15" t="str">
        <x:v>All Other Compensation ($)(3)</x:v>
      </x:c>
      <x:c r="G45" s="2" t="str">
        <x:v>54,517</x:v>
      </x:c>
      <x:c r="H45" s="12" t="n">
        <x:v>54517</x:v>
      </x:c>
      <x:c r="I45" s="13" t="str">
        <x:v>USD</x:v>
      </x:c>
      <x:c r="J45" s="13" t="n">
        <x:v>1</x:v>
      </x:c>
      <x:c r="K45" s="14" t="n">
        <x:v>1.3978</x:v>
      </x:c>
      <x:c r="L45" s="10" t="n">
        <x:f>IF(AND(ISNUMBER(H45),ISNUMBER(J45),ISNUMBER(K45)),H45*J45*K45,"")</x:f>
        <x:v>76203.8626</x:v>
      </x:c>
      <x:c r="M45" s="2" t="str">
        <x:v>reported</x:v>
      </x:c>
      <x:c r="N45" s="2" t="str">
        <x:v>Yes</x:v>
      </x:c>
      <x:c r="O45" s="17" t="n">
        <x:v>2025</x:v>
      </x:c>
      <x:c r="P45" s="15" t="str">
        <x:v>https://www.bankofcanada.ca/rates/exchange/annual-average-exchange-rates/</x:v>
      </x:c>
      <x:c r="Q45" s="16" t="d">
        <x:v>2026-04-13T12:00:00.000Z</x:v>
      </x:c>
      <x:c r="R45" s="15" t="str">
        <x:v>Summary Compensation Table</x:v>
      </x:c>
      <x:c r="S45" s="2" t="n">
        <x:v>77</x:v>
      </x:c>
      <x:c r="T45" s="15" t="str">
        <x:v>b2gold_circular.pdf</x:v>
      </x:c>
      <x:c r="U45" s="15" t="str">
        <x:v>https://s204.q4cdn.com/324791784/files/doc_downloads/2026/04/B2Gold-MIC-FYE-December-31-2025.pdf</x:v>
      </x:c>
      <x:c r="V45" s="15" t="str">
        <x:v>000bcea1d986585b3d261c785a369eb49859de5dd24837b9d487723021a0214c</x:v>
      </x:c>
      <x:c r="W45" s="15" t="str">
        <x:v>PDF p.77, SCT notes (1)-(3); currency convention PDF p.19. Annual cash bonus paid March 2026 for services in FY2025. Share awards copied as reported.</x:v>
      </x:c>
      <x:c r="X45" s="15" t="str">
        <x:v>Reported table value; no award revaluation or reconstruction.</x:v>
      </x:c>
      <x:c r="Y45" s="15" t="str"/>
      <x:c r="Z45" s="2"/>
      <x:c r="AA45" s="2" t="str">
        <x:v>interfor</x:v>
      </x:c>
      <x:c r="AB45" s="2" t="n">
        <x:v>54</x:v>
      </x:c>
      <x:c r="AC45" s="2" t="n">
        <x:v>2</x:v>
      </x:c>
      <x:c r="AD45" s="15" t="str">
        <x:v>The following table shows the total realized and target compensation awarded to the</x:v>
      </x:c>
    </x:row>
    <x:row r="46" ht="48" customHeight="1">
      <x:c r="A46" s="2" t="str">
        <x:v>6e9f0efa00037fa15cea</x:v>
      </x:c>
      <x:c r="B46" s="2" t="str">
        <x:v>B2Gold Corp.</x:v>
      </x:c>
      <x:c r="C46" s="2" t="str">
        <x:v>Randall Chatwin</x:v>
      </x:c>
      <x:c r="D46" s="16" t="d">
        <x:v>2025-12-31T12:00:00.000Z</x:v>
      </x:c>
      <x:c r="E46" s="2" t="str">
        <x:v>total</x:v>
      </x:c>
      <x:c r="F46" s="15" t="str">
        <x:v>Total Compensation ($)</x:v>
      </x:c>
      <x:c r="G46" s="2" t="str">
        <x:v>2,378,514</x:v>
      </x:c>
      <x:c r="H46" s="12" t="n">
        <x:v>2378514</x:v>
      </x:c>
      <x:c r="I46" s="13" t="str">
        <x:v>USD</x:v>
      </x:c>
      <x:c r="J46" s="13" t="n">
        <x:v>1</x:v>
      </x:c>
      <x:c r="K46" s="14" t="n">
        <x:v>1.3978</x:v>
      </x:c>
      <x:c r="L46" s="10" t="n">
        <x:f>IF(AND(ISNUMBER(H46),ISNUMBER(J46),ISNUMBER(K46)),H46*J46*K46,"")</x:f>
        <x:v>3324686.8691999996</x:v>
      </x:c>
      <x:c r="M46" s="2" t="str">
        <x:v>reported</x:v>
      </x:c>
      <x:c r="N46" s="2" t="str">
        <x:v>Yes</x:v>
      </x:c>
      <x:c r="O46" s="17" t="n">
        <x:v>2025</x:v>
      </x:c>
      <x:c r="P46" s="15" t="str">
        <x:v>https://www.bankofcanada.ca/rates/exchange/annual-average-exchange-rates/</x:v>
      </x:c>
      <x:c r="Q46" s="16" t="d">
        <x:v>2026-04-13T12:00:00.000Z</x:v>
      </x:c>
      <x:c r="R46" s="15" t="str">
        <x:v>Summary Compensation Table</x:v>
      </x:c>
      <x:c r="S46" s="2" t="n">
        <x:v>77</x:v>
      </x:c>
      <x:c r="T46" s="15" t="str">
        <x:v>b2gold_circular.pdf</x:v>
      </x:c>
      <x:c r="U46" s="15" t="str">
        <x:v>https://s204.q4cdn.com/324791784/files/doc_downloads/2026/04/B2Gold-MIC-FYE-December-31-2025.pdf</x:v>
      </x:c>
      <x:c r="V46" s="15" t="str">
        <x:v>000bcea1d986585b3d261c785a369eb49859de5dd24837b9d487723021a0214c</x:v>
      </x:c>
      <x:c r="W46" s="15" t="str">
        <x:v>PDF p.77, SCT notes (1)-(3); currency convention PDF p.19. Annual cash bonus paid March 2026 for services in FY2025. Share awards copied as reported.</x:v>
      </x:c>
      <x:c r="X46" s="15" t="str">
        <x:v>Reported table value; no award revaluation or reconstruction.</x:v>
      </x:c>
      <x:c r="Y46" s="15" t="str"/>
      <x:c r="Z46" s="2"/>
      <x:c r="AA46" s="2" t="str">
        <x:v>interfor</x:v>
      </x:c>
      <x:c r="AB46" s="2" t="n">
        <x:v>54</x:v>
      </x:c>
      <x:c r="AC46" s="2" t="n">
        <x:v>3</x:v>
      </x:c>
      <x:c r="AD46" s="15" t="str">
        <x:v>Company’s Named Executive Officers for the fiscal years ended December 31, 2023,</x:v>
      </x:c>
    </x:row>
    <x:row r="47" ht="48" customHeight="1">
      <x:c r="A47" s="2" t="str">
        <x:v>6e9f0efa00037fa15cea</x:v>
      </x:c>
      <x:c r="B47" s="2" t="str">
        <x:v>B2Gold Corp.</x:v>
      </x:c>
      <x:c r="C47" s="2" t="str">
        <x:v>Randall Chatwin</x:v>
      </x:c>
      <x:c r="D47" s="16" t="d">
        <x:v>2025-12-31T12:00:00.000Z</x:v>
      </x:c>
      <x:c r="E47" s="2" t="str">
        <x:v>salary</x:v>
      </x:c>
      <x:c r="F47" s="15" t="str">
        <x:v>Salary ($)</x:v>
      </x:c>
      <x:c r="G47" s="2" t="str">
        <x:v>456,250</x:v>
      </x:c>
      <x:c r="H47" s="12" t="n">
        <x:v>456250</x:v>
      </x:c>
      <x:c r="I47" s="13" t="str">
        <x:v>USD</x:v>
      </x:c>
      <x:c r="J47" s="13" t="n">
        <x:v>1</x:v>
      </x:c>
      <x:c r="K47" s="14" t="n">
        <x:v>1.3978</x:v>
      </x:c>
      <x:c r="L47" s="10" t="n">
        <x:f>IF(AND(ISNUMBER(H47),ISNUMBER(J47),ISNUMBER(K47)),H47*J47*K47,"")</x:f>
        <x:v>637746.25</x:v>
      </x:c>
      <x:c r="M47" s="2" t="str">
        <x:v>reported</x:v>
      </x:c>
      <x:c r="N47" s="2" t="str">
        <x:v>Yes</x:v>
      </x:c>
      <x:c r="O47" s="17" t="n">
        <x:v>2025</x:v>
      </x:c>
      <x:c r="P47" s="15" t="str">
        <x:v>https://www.bankofcanada.ca/rates/exchange/annual-average-exchange-rates/</x:v>
      </x:c>
      <x:c r="Q47" s="16" t="d">
        <x:v>2026-04-13T12:00:00.000Z</x:v>
      </x:c>
      <x:c r="R47" s="15" t="str">
        <x:v>Summary Compensation Table</x:v>
      </x:c>
      <x:c r="S47" s="2" t="n">
        <x:v>77</x:v>
      </x:c>
      <x:c r="T47" s="15" t="str">
        <x:v>b2gold_circular.pdf</x:v>
      </x:c>
      <x:c r="U47" s="15" t="str">
        <x:v>https://s204.q4cdn.com/324791784/files/doc_downloads/2026/04/B2Gold-MIC-FYE-December-31-2025.pdf</x:v>
      </x:c>
      <x:c r="V47" s="15" t="str">
        <x:v>000bcea1d986585b3d261c785a369eb49859de5dd24837b9d487723021a0214c</x:v>
      </x:c>
      <x:c r="W47" s="15" t="str">
        <x:v>PDF p.77, SCT notes (1)-(3); currency convention PDF p.19. Annual cash bonus paid March 2026 for services in FY2025. Share awards copied as reported.</x:v>
      </x:c>
      <x:c r="X47" s="15" t="str">
        <x:v>Reported table value; no award revaluation or reconstruction.</x:v>
      </x:c>
      <x:c r="Y47" s="15" t="str"/>
      <x:c r="Z47" s="2"/>
      <x:c r="AA47" s="2" t="str">
        <x:v>interfor</x:v>
      </x:c>
      <x:c r="AB47" s="2" t="n">
        <x:v>54</x:v>
      </x:c>
      <x:c r="AC47" s="2" t="n">
        <x:v>4</x:v>
      </x:c>
      <x:c r="AD47" s="15" t="str">
        <x:v>December 31, 2024 and December 31, 2025.</x:v>
      </x:c>
    </x:row>
    <x:row r="48" ht="48" customHeight="1">
      <x:c r="A48" s="2" t="str">
        <x:v>6e9f0efa00037fa15cea</x:v>
      </x:c>
      <x:c r="B48" s="2" t="str">
        <x:v>B2Gold Corp.</x:v>
      </x:c>
      <x:c r="C48" s="2" t="str">
        <x:v>Randall Chatwin</x:v>
      </x:c>
      <x:c r="D48" s="16" t="d">
        <x:v>2025-12-31T12:00:00.000Z</x:v>
      </x:c>
      <x:c r="E48" s="2" t="str">
        <x:v>share_awards</x:v>
      </x:c>
      <x:c r="F48" s="15" t="str">
        <x:v>Share-Based Awards ($)(1)</x:v>
      </x:c>
      <x:c r="G48" s="2" t="str">
        <x:v>1,510,918</x:v>
      </x:c>
      <x:c r="H48" s="12" t="n">
        <x:v>1510918</x:v>
      </x:c>
      <x:c r="I48" s="13" t="str">
        <x:v>USD</x:v>
      </x:c>
      <x:c r="J48" s="13" t="n">
        <x:v>1</x:v>
      </x:c>
      <x:c r="K48" s="14" t="n">
        <x:v>1.3978</x:v>
      </x:c>
      <x:c r="L48" s="10" t="n">
        <x:f>IF(AND(ISNUMBER(H48),ISNUMBER(J48),ISNUMBER(K48)),H48*J48*K48,"")</x:f>
        <x:v>2111961.1804</x:v>
      </x:c>
      <x:c r="M48" s="2" t="str">
        <x:v>reported</x:v>
      </x:c>
      <x:c r="N48" s="2" t="str">
        <x:v>Yes</x:v>
      </x:c>
      <x:c r="O48" s="17" t="n">
        <x:v>2025</x:v>
      </x:c>
      <x:c r="P48" s="15" t="str">
        <x:v>https://www.bankofcanada.ca/rates/exchange/annual-average-exchange-rates/</x:v>
      </x:c>
      <x:c r="Q48" s="16" t="d">
        <x:v>2026-04-13T12:00:00.000Z</x:v>
      </x:c>
      <x:c r="R48" s="15" t="str">
        <x:v>Summary Compensation Table</x:v>
      </x:c>
      <x:c r="S48" s="2" t="n">
        <x:v>77</x:v>
      </x:c>
      <x:c r="T48" s="15" t="str">
        <x:v>b2gold_circular.pdf</x:v>
      </x:c>
      <x:c r="U48" s="15" t="str">
        <x:v>https://s204.q4cdn.com/324791784/files/doc_downloads/2026/04/B2Gold-MIC-FYE-December-31-2025.pdf</x:v>
      </x:c>
      <x:c r="V48" s="15" t="str">
        <x:v>000bcea1d986585b3d261c785a369eb49859de5dd24837b9d487723021a0214c</x:v>
      </x:c>
      <x:c r="W48" s="15" t="str">
        <x:v>PDF p.77, SCT notes (1)-(3); currency convention PDF p.19. Annual cash bonus paid March 2026 for services in FY2025. Share awards copied as reported.</x:v>
      </x:c>
      <x:c r="X48" s="15" t="str">
        <x:v>Reported table value; no award revaluation or reconstruction.</x:v>
      </x:c>
      <x:c r="Y48" s="15" t="str"/>
      <x:c r="Z48" s="2"/>
      <x:c r="AA48" s="2" t="str">
        <x:v>interfor</x:v>
      </x:c>
      <x:c r="AB48" s="2" t="n">
        <x:v>54</x:v>
      </x:c>
      <x:c r="AC48" s="2" t="n">
        <x:v>5</x:v>
      </x:c>
      <x:c r="AD48" s="15" t="str">
        <x:v>Share Based Awards for 2023, 2024 and 2025 were granted under the PSU Plan and the</x:v>
      </x:c>
    </x:row>
    <x:row r="49" ht="48" customHeight="1">
      <x:c r="A49" s="2" t="str">
        <x:v>6e9f0efa00037fa15cea</x:v>
      </x:c>
      <x:c r="B49" s="2" t="str">
        <x:v>B2Gold Corp.</x:v>
      </x:c>
      <x:c r="C49" s="2" t="str">
        <x:v>Randall Chatwin</x:v>
      </x:c>
      <x:c r="D49" s="16" t="d">
        <x:v>2025-12-31T12:00:00.000Z</x:v>
      </x:c>
      <x:c r="E49" s="2" t="str">
        <x:v>option_awards</x:v>
      </x:c>
      <x:c r="F49" s="15" t="str">
        <x:v>Option-Based Awards ($)</x:v>
      </x:c>
      <x:c r="G49" s="2" t="str">
        <x:v>-</x:v>
      </x:c>
      <x:c r="H49" s="12"/>
      <x:c r="I49" s="13" t="str">
        <x:v>USD</x:v>
      </x:c>
      <x:c r="J49" s="13" t="n">
        <x:v>1</x:v>
      </x:c>
      <x:c r="K49" s="14"/>
      <x:c r="L49" s="10" t="str">
        <x:f>IF(AND(ISNUMBER(H49),ISNUMBER(J49),ISNUMBER(K49)),H49*J49*K49,"")</x:f>
      </x:c>
      <x:c r="M49" s="2" t="str">
        <x:v>uncertain</x:v>
      </x:c>
      <x:c r="N49" s="2" t="str">
        <x:v>No</x:v>
      </x:c>
      <x:c r="O49" s="17"/>
      <x:c r="P49" s="15" t="str"/>
      <x:c r="Q49" s="16" t="d">
        <x:v>2026-04-13T12:00:00.000Z</x:v>
      </x:c>
      <x:c r="R49" s="15" t="str">
        <x:v>Summary Compensation Table</x:v>
      </x:c>
      <x:c r="S49" s="2" t="n">
        <x:v>77</x:v>
      </x:c>
      <x:c r="T49" s="15" t="str">
        <x:v>b2gold_circular.pdf</x:v>
      </x:c>
      <x:c r="U49" s="15" t="str">
        <x:v>https://s204.q4cdn.com/324791784/files/doc_downloads/2026/04/B2Gold-MIC-FYE-December-31-2025.pdf</x:v>
      </x:c>
      <x:c r="V49" s="15" t="str">
        <x:v>000bcea1d986585b3d261c785a369eb49859de5dd24837b9d487723021a0214c</x:v>
      </x:c>
      <x:c r="W49" s="15" t="str">
        <x:v>PDF p.77, SCT notes (1)-(3); currency convention PDF p.19. Annual cash bonus paid March 2026 for services in FY2025. Share awards copied as reported.</x:v>
      </x:c>
      <x:c r="X49" s="15" t="str">
        <x:v>Reported table value; no award revaluation or reconstruction.</x:v>
      </x:c>
      <x:c r="Y49" s="15" t="str">
        <x:v>Source dash has no verified numeric meaning</x:v>
      </x:c>
      <x:c r="Z49" s="2"/>
      <x:c r="AA49" s="2" t="str">
        <x:v>interfor</x:v>
      </x:c>
      <x:c r="AB49" s="2" t="n">
        <x:v>54</x:v>
      </x:c>
      <x:c r="AC49" s="2" t="n">
        <x:v>6</x:v>
      </x:c>
      <x:c r="AD49" s="15" t="str">
        <x:v>RSU Plan, comprising the Company’s long-term incentive program. The amounts shown</x:v>
      </x:c>
    </x:row>
    <x:row r="50" ht="48" customHeight="1">
      <x:c r="A50" s="2" t="str">
        <x:v>6e9f0efa00037fa15cea</x:v>
      </x:c>
      <x:c r="B50" s="2" t="str">
        <x:v>B2Gold Corp.</x:v>
      </x:c>
      <x:c r="C50" s="2" t="str">
        <x:v>Randall Chatwin</x:v>
      </x:c>
      <x:c r="D50" s="16" t="d">
        <x:v>2025-12-31T12:00:00.000Z</x:v>
      </x:c>
      <x:c r="E50" s="2" t="str">
        <x:v>annual_incentive</x:v>
      </x:c>
      <x:c r="F50" s="15" t="str">
        <x:v>Annual Incentive Program ($)(2)</x:v>
      </x:c>
      <x:c r="G50" s="2" t="str">
        <x:v>364,430</x:v>
      </x:c>
      <x:c r="H50" s="12" t="n">
        <x:v>364430</x:v>
      </x:c>
      <x:c r="I50" s="13" t="str">
        <x:v>USD</x:v>
      </x:c>
      <x:c r="J50" s="13" t="n">
        <x:v>1</x:v>
      </x:c>
      <x:c r="K50" s="14" t="n">
        <x:v>1.3978</x:v>
      </x:c>
      <x:c r="L50" s="10" t="n">
        <x:f>IF(AND(ISNUMBER(H50),ISNUMBER(J50),ISNUMBER(K50)),H50*J50*K50,"")</x:f>
        <x:v>509400.25399999996</x:v>
      </x:c>
      <x:c r="M50" s="2" t="str">
        <x:v>reported</x:v>
      </x:c>
      <x:c r="N50" s="2" t="str">
        <x:v>Yes</x:v>
      </x:c>
      <x:c r="O50" s="17" t="n">
        <x:v>2025</x:v>
      </x:c>
      <x:c r="P50" s="15" t="str">
        <x:v>https://www.bankofcanada.ca/rates/exchange/annual-average-exchange-rates/</x:v>
      </x:c>
      <x:c r="Q50" s="16" t="d">
        <x:v>2026-04-13T12:00:00.000Z</x:v>
      </x:c>
      <x:c r="R50" s="15" t="str">
        <x:v>Summary Compensation Table</x:v>
      </x:c>
      <x:c r="S50" s="2" t="n">
        <x:v>77</x:v>
      </x:c>
      <x:c r="T50" s="15" t="str">
        <x:v>b2gold_circular.pdf</x:v>
      </x:c>
      <x:c r="U50" s="15" t="str">
        <x:v>https://s204.q4cdn.com/324791784/files/doc_downloads/2026/04/B2Gold-MIC-FYE-December-31-2025.pdf</x:v>
      </x:c>
      <x:c r="V50" s="15" t="str">
        <x:v>000bcea1d986585b3d261c785a369eb49859de5dd24837b9d487723021a0214c</x:v>
      </x:c>
      <x:c r="W50" s="15" t="str">
        <x:v>PDF p.77, SCT notes (1)-(3); currency convention PDF p.19. Annual cash bonus paid March 2026 for services in FY2025. Share awards copied as reported.</x:v>
      </x:c>
      <x:c r="X50" s="15" t="str">
        <x:v>Annual short-term incentive heading; direct mapping, no long-term amounts combined.</x:v>
      </x:c>
      <x:c r="Y50" s="15" t="str"/>
      <x:c r="Z50" s="2"/>
      <x:c r="AA50" s="2" t="str">
        <x:v>interfor</x:v>
      </x:c>
      <x:c r="AB50" s="2" t="n">
        <x:v>54</x:v>
      </x:c>
      <x:c r="AC50" s="2" t="n">
        <x:v>7</x:v>
      </x:c>
      <x:c r="AD50" s="15" t="str">
        <x:v>represent the fair value of the awards at the grant dates and do not represent the actual</x:v>
      </x:c>
    </x:row>
    <x:row r="51" ht="48" customHeight="1">
      <x:c r="A51" s="2" t="str">
        <x:v>6e9f0efa00037fa15cea</x:v>
      </x:c>
      <x:c r="B51" s="2" t="str">
        <x:v>B2Gold Corp.</x:v>
      </x:c>
      <x:c r="C51" s="2" t="str">
        <x:v>Randall Chatwin</x:v>
      </x:c>
      <x:c r="D51" s="16" t="d">
        <x:v>2025-12-31T12:00:00.000Z</x:v>
      </x:c>
      <x:c r="E51" s="2" t="str">
        <x:v>long_term_incentive</x:v>
      </x:c>
      <x:c r="F51" s="15" t="str">
        <x:v>Long-Term Incentive Plans ($)</x:v>
      </x:c>
      <x:c r="G51" s="2" t="str">
        <x:v>-</x:v>
      </x:c>
      <x:c r="H51" s="12"/>
      <x:c r="I51" s="13" t="str">
        <x:v>USD</x:v>
      </x:c>
      <x:c r="J51" s="13" t="n">
        <x:v>1</x:v>
      </x:c>
      <x:c r="K51" s="14"/>
      <x:c r="L51" s="10" t="str">
        <x:f>IF(AND(ISNUMBER(H51),ISNUMBER(J51),ISNUMBER(K51)),H51*J51*K51,"")</x:f>
      </x:c>
      <x:c r="M51" s="2" t="str">
        <x:v>uncertain</x:v>
      </x:c>
      <x:c r="N51" s="2" t="str">
        <x:v>No</x:v>
      </x:c>
      <x:c r="O51" s="17"/>
      <x:c r="P51" s="15" t="str"/>
      <x:c r="Q51" s="16" t="d">
        <x:v>2026-04-13T12:00:00.000Z</x:v>
      </x:c>
      <x:c r="R51" s="15" t="str">
        <x:v>Summary Compensation Table</x:v>
      </x:c>
      <x:c r="S51" s="2" t="n">
        <x:v>77</x:v>
      </x:c>
      <x:c r="T51" s="15" t="str">
        <x:v>b2gold_circular.pdf</x:v>
      </x:c>
      <x:c r="U51" s="15" t="str">
        <x:v>https://s204.q4cdn.com/324791784/files/doc_downloads/2026/04/B2Gold-MIC-FYE-December-31-2025.pdf</x:v>
      </x:c>
      <x:c r="V51" s="15" t="str">
        <x:v>000bcea1d986585b3d261c785a369eb49859de5dd24837b9d487723021a0214c</x:v>
      </x:c>
      <x:c r="W51" s="15" t="str">
        <x:v>PDF p.77, SCT notes (1)-(3); currency convention PDF p.19. Annual cash bonus paid March 2026 for services in FY2025. Share awards copied as reported.</x:v>
      </x:c>
      <x:c r="X51" s="15" t="str">
        <x:v>Reported table value; no award revaluation or reconstruction.</x:v>
      </x:c>
      <x:c r="Y51" s="15" t="str">
        <x:v>Source dash has no verified numeric meaning</x:v>
      </x:c>
      <x:c r="Z51" s="2"/>
      <x:c r="AA51" s="2" t="str">
        <x:v>interfor</x:v>
      </x:c>
      <x:c r="AB51" s="2" t="n">
        <x:v>54</x:v>
      </x:c>
      <x:c r="AC51" s="2" t="n">
        <x:v>8</x:v>
      </x:c>
      <x:c r="AD51" s="15" t="str">
        <x:v>value of the payout to be received upon maturity of the awards.</x:v>
      </x:c>
    </x:row>
    <x:row r="52" ht="48" customHeight="1">
      <x:c r="A52" s="2" t="str">
        <x:v>6e9f0efa00037fa15cea</x:v>
      </x:c>
      <x:c r="B52" s="2" t="str">
        <x:v>B2Gold Corp.</x:v>
      </x:c>
      <x:c r="C52" s="2" t="str">
        <x:v>Randall Chatwin</x:v>
      </x:c>
      <x:c r="D52" s="16" t="d">
        <x:v>2025-12-31T12:00:00.000Z</x:v>
      </x:c>
      <x:c r="E52" s="2" t="str">
        <x:v>pension</x:v>
      </x:c>
      <x:c r="F52" s="15"/>
      <x:c r="G52" s="2"/>
      <x:c r="H52" s="12"/>
      <x:c r="I52" s="13" t="str">
        <x:v>USD</x:v>
      </x:c>
      <x:c r="J52" s="13" t="n">
        <x:v>1</x:v>
      </x:c>
      <x:c r="K52" s="14"/>
      <x:c r="L52" s="10" t="str">
        <x:f>IF(AND(ISNUMBER(H52),ISNUMBER(J52),ISNUMBER(K52)),H52*J52*K52,"")</x:f>
      </x:c>
      <x:c r="M52" s="2" t="str">
        <x:v>not_disclosed</x:v>
      </x:c>
      <x:c r="N52" s="2" t="str">
        <x:v>No</x:v>
      </x:c>
      <x:c r="O52" s="17"/>
      <x:c r="P52" s="15" t="str"/>
      <x:c r="Q52" s="16" t="d">
        <x:v>2026-04-13T12:00:00.000Z</x:v>
      </x:c>
      <x:c r="R52" s="15" t="str">
        <x:v>Summary Compensation Table</x:v>
      </x:c>
      <x:c r="S52" s="2" t="n">
        <x:v>77</x:v>
      </x:c>
      <x:c r="T52" s="15" t="str">
        <x:v>b2gold_circular.pdf</x:v>
      </x:c>
      <x:c r="U52" s="15" t="str">
        <x:v>https://s204.q4cdn.com/324791784/files/doc_downloads/2026/04/B2Gold-MIC-FYE-December-31-2025.pdf</x:v>
      </x:c>
      <x:c r="V52" s="15" t="str">
        <x:v>000bcea1d986585b3d261c785a369eb49859de5dd24837b9d487723021a0214c</x:v>
      </x:c>
      <x:c r="W52" s="15" t="str">
        <x:v>PDF p.77, SCT notes (1)-(3); currency convention PDF p.19. Annual cash bonus paid March 2026 for services in FY2025. Share awards copied as reported.</x:v>
      </x:c>
      <x:c r="X52" s="15" t="str">
        <x:v>No amount inferred from other fields.</x:v>
      </x:c>
      <x:c r="Y52" s="15" t="str">
        <x:v>No separate column in the Summary Compensation Table</x:v>
      </x:c>
      <x:c r="Z52" s="2"/>
      <x:c r="AA52" s="2" t="str">
        <x:v>interfor</x:v>
      </x:c>
      <x:c r="AB52" s="2" t="n">
        <x:v>54</x:v>
      </x:c>
      <x:c r="AC52" s="2" t="n">
        <x:v>9</x:v>
      </x:c>
      <x:c r="AD52" s="15" t="str">
        <x:v>Non-Equity Incentive</x:v>
      </x:c>
    </x:row>
    <x:row r="53" ht="48" customHeight="1">
      <x:c r="A53" s="2" t="str">
        <x:v>6e9f0efa00037fa15cea</x:v>
      </x:c>
      <x:c r="B53" s="2" t="str">
        <x:v>B2Gold Corp.</x:v>
      </x:c>
      <x:c r="C53" s="2" t="str">
        <x:v>Randall Chatwin</x:v>
      </x:c>
      <x:c r="D53" s="16" t="d">
        <x:v>2025-12-31T12:00:00.000Z</x:v>
      </x:c>
      <x:c r="E53" s="2" t="str">
        <x:v>other</x:v>
      </x:c>
      <x:c r="F53" s="15" t="str">
        <x:v>All Other Compensation ($)(3)</x:v>
      </x:c>
      <x:c r="G53" s="2" t="str">
        <x:v>46,916</x:v>
      </x:c>
      <x:c r="H53" s="12" t="n">
        <x:v>46916</x:v>
      </x:c>
      <x:c r="I53" s="13" t="str">
        <x:v>USD</x:v>
      </x:c>
      <x:c r="J53" s="13" t="n">
        <x:v>1</x:v>
      </x:c>
      <x:c r="K53" s="14" t="n">
        <x:v>1.3978</x:v>
      </x:c>
      <x:c r="L53" s="10" t="n">
        <x:f>IF(AND(ISNUMBER(H53),ISNUMBER(J53),ISNUMBER(K53)),H53*J53*K53,"")</x:f>
        <x:v>65579.1848</x:v>
      </x:c>
      <x:c r="M53" s="2" t="str">
        <x:v>reported</x:v>
      </x:c>
      <x:c r="N53" s="2" t="str">
        <x:v>Yes</x:v>
      </x:c>
      <x:c r="O53" s="17" t="n">
        <x:v>2025</x:v>
      </x:c>
      <x:c r="P53" s="15" t="str">
        <x:v>https://www.bankofcanada.ca/rates/exchange/annual-average-exchange-rates/</x:v>
      </x:c>
      <x:c r="Q53" s="16" t="d">
        <x:v>2026-04-13T12:00:00.000Z</x:v>
      </x:c>
      <x:c r="R53" s="15" t="str">
        <x:v>Summary Compensation Table</x:v>
      </x:c>
      <x:c r="S53" s="2" t="n">
        <x:v>77</x:v>
      </x:c>
      <x:c r="T53" s="15" t="str">
        <x:v>b2gold_circular.pdf</x:v>
      </x:c>
      <x:c r="U53" s="15" t="str">
        <x:v>https://s204.q4cdn.com/324791784/files/doc_downloads/2026/04/B2Gold-MIC-FYE-December-31-2025.pdf</x:v>
      </x:c>
      <x:c r="V53" s="15" t="str">
        <x:v>000bcea1d986585b3d261c785a369eb49859de5dd24837b9d487723021a0214c</x:v>
      </x:c>
      <x:c r="W53" s="15" t="str">
        <x:v>PDF p.77, SCT notes (1)-(3); currency convention PDF p.19. Annual cash bonus paid March 2026 for services in FY2025. Share awards copied as reported.</x:v>
      </x:c>
      <x:c r="X53" s="15" t="str">
        <x:v>Reported table value; no award revaluation or reconstruction.</x:v>
      </x:c>
      <x:c r="Y53" s="15" t="str"/>
      <x:c r="Z53" s="2"/>
      <x:c r="AA53" s="2" t="str">
        <x:v>interfor</x:v>
      </x:c>
      <x:c r="AB53" s="2" t="n">
        <x:v>54</x:v>
      </x:c>
      <x:c r="AC53" s="2" t="n">
        <x:v>10</x:v>
      </x:c>
      <x:c r="AD53" s="15" t="str">
        <x:v>Share Option Plan Compensation</x:v>
      </x:c>
    </x:row>
    <x:row r="54" ht="48" customHeight="1">
      <x:c r="A54" s="2" t="str">
        <x:v>e13ee60f4fe82fe0e5fe</x:v>
      </x:c>
      <x:c r="B54" s="2" t="str">
        <x:v>Interfor Corporation</x:v>
      </x:c>
      <x:c r="C54" s="2" t="str">
        <x:v>Ian M. Fillinger</x:v>
      </x:c>
      <x:c r="D54" s="16" t="d">
        <x:v>2025-12-31T12:00:00.000Z</x:v>
      </x:c>
      <x:c r="E54" s="2" t="str">
        <x:v>total</x:v>
      </x:c>
      <x:c r="F54" s="15" t="str">
        <x:v>Total Compensation(6)</x:v>
      </x:c>
      <x:c r="G54" s="2" t="str">
        <x:v>3,128,221</x:v>
      </x:c>
      <x:c r="H54" s="12" t="n">
        <x:v>3128221</x:v>
      </x:c>
      <x:c r="I54" s="13" t="str">
        <x:v>CAD</x:v>
      </x:c>
      <x:c r="J54" s="13" t="n">
        <x:v>1</x:v>
      </x:c>
      <x:c r="K54" s="14" t="n">
        <x:v>1</x:v>
      </x:c>
      <x:c r="L54" s="10" t="n">
        <x:f>IF(AND(ISNUMBER(H54),ISNUMBER(J54),ISNUMBER(K54)),H54*J54*K54,"")</x:f>
        <x:v>3128221</x:v>
      </x:c>
      <x:c r="M54" s="2" t="str">
        <x:v>reported</x:v>
      </x:c>
      <x:c r="N54" s="2" t="str">
        <x:v>No</x:v>
      </x:c>
      <x:c r="O54" s="17"/>
      <x:c r="P54" s="15" t="str"/>
      <x:c r="Q54" s="16" t="d">
        <x:v>2026-03-17T12:00:00.000Z</x:v>
      </x:c>
      <x:c r="R54" s="15" t="str">
        <x:v>Summary Compensation Table</x:v>
      </x:c>
      <x:c r="S54" s="2" t="n">
        <x:v>54</x:v>
      </x:c>
      <x:c r="T54" s="15" t="str">
        <x:v>interfor_circular.pdf</x:v>
      </x:c>
      <x:c r="U54" s="15" t="str">
        <x:v>https://interfor.com/wp-content/uploads/2026/03/Information-Circular.pdf</x:v>
      </x:c>
      <x:c r="V54" s="15" t="str">
        <x:v>62f51d3625c51cfac54e4777b67a1bfbaa6e39bc401662ebdd3ed347167ab3ab</x:v>
      </x:c>
      <x:c r="W54" s="15" t="str">
        <x:v>PDF pp.54-55, SCT notes (1)-(9). Awards are grant-date fair values. Some US employees already translated to CAD by issuer; do not reconvert.</x:v>
      </x:c>
      <x:c r="X54" s="15" t="str">
        <x:v>Reported table value; no award revaluation or reconstruction.</x:v>
      </x:c>
      <x:c r="Y54" s="15" t="str"/>
      <x:c r="Z54" s="2"/>
      <x:c r="AA54" s="2" t="str">
        <x:v>interfor</x:v>
      </x:c>
      <x:c r="AB54" s="2" t="n">
        <x:v>54</x:v>
      </x:c>
      <x:c r="AC54" s="2" t="n">
        <x:v>11</x:v>
      </x:c>
      <x:c r="AD54" s="15" t="str">
        <x:v>Name and Pension All Other Total</x:v>
      </x:c>
    </x:row>
    <x:row r="55" ht="48" customHeight="1">
      <x:c r="A55" s="2" t="str">
        <x:v>e13ee60f4fe82fe0e5fe</x:v>
      </x:c>
      <x:c r="B55" s="2" t="str">
        <x:v>Interfor Corporation</x:v>
      </x:c>
      <x:c r="C55" s="2" t="str">
        <x:v>Ian M. Fillinger</x:v>
      </x:c>
      <x:c r="D55" s="16" t="d">
        <x:v>2025-12-31T12:00:00.000Z</x:v>
      </x:c>
      <x:c r="E55" s="2" t="str">
        <x:v>salary</x:v>
      </x:c>
      <x:c r="F55" s="15" t="str">
        <x:v>Salary</x:v>
      </x:c>
      <x:c r="G55" s="2" t="str">
        <x:v>873,457</x:v>
      </x:c>
      <x:c r="H55" s="12" t="n">
        <x:v>873457</x:v>
      </x:c>
      <x:c r="I55" s="13" t="str">
        <x:v>CAD</x:v>
      </x:c>
      <x:c r="J55" s="13" t="n">
        <x:v>1</x:v>
      </x:c>
      <x:c r="K55" s="14" t="n">
        <x:v>1</x:v>
      </x:c>
      <x:c r="L55" s="10" t="n">
        <x:f>IF(AND(ISNUMBER(H55),ISNUMBER(J55),ISNUMBER(K55)),H55*J55*K55,"")</x:f>
        <x:v>873457</x:v>
      </x:c>
      <x:c r="M55" s="2" t="str">
        <x:v>reported</x:v>
      </x:c>
      <x:c r="N55" s="2" t="str">
        <x:v>No</x:v>
      </x:c>
      <x:c r="O55" s="17"/>
      <x:c r="P55" s="15" t="str"/>
      <x:c r="Q55" s="16" t="d">
        <x:v>2026-03-17T12:00:00.000Z</x:v>
      </x:c>
      <x:c r="R55" s="15" t="str">
        <x:v>Summary Compensation Table</x:v>
      </x:c>
      <x:c r="S55" s="2" t="n">
        <x:v>54</x:v>
      </x:c>
      <x:c r="T55" s="15" t="str">
        <x:v>interfor_circular.pdf</x:v>
      </x:c>
      <x:c r="U55" s="15" t="str">
        <x:v>https://interfor.com/wp-content/uploads/2026/03/Information-Circular.pdf</x:v>
      </x:c>
      <x:c r="V55" s="15" t="str">
        <x:v>62f51d3625c51cfac54e4777b67a1bfbaa6e39bc401662ebdd3ed347167ab3ab</x:v>
      </x:c>
      <x:c r="W55" s="15" t="str">
        <x:v>PDF pp.54-55, SCT notes (1)-(9). Awards are grant-date fair values. Some US employees already translated to CAD by issuer; do not reconvert.</x:v>
      </x:c>
      <x:c r="X55" s="15" t="str">
        <x:v>Reported table value; no award revaluation or reconstruction.</x:v>
      </x:c>
      <x:c r="Y55" s="15" t="str"/>
      <x:c r="Z55" s="2"/>
      <x:c r="AA55" s="2" t="str">
        <x:v>interfor</x:v>
      </x:c>
      <x:c r="AB55" s="2" t="n">
        <x:v>54</x:v>
      </x:c>
      <x:c r="AC55" s="2" t="n">
        <x:v>12</x:v>
      </x:c>
      <x:c r="AD55" s="15" t="str">
        <x:v>P P r o in si c t i i p o a n l Year Salary A B w ( a 1) a s ( e r 2) d d s A B w a a s r e d d s In A c n e n n u t a iv l e In L c t o e e n r n m g ti - ve V</x:v>
      </x:c>
    </x:row>
    <x:row r="56" ht="48" customHeight="1">
      <x:c r="A56" s="2" t="str">
        <x:v>e13ee60f4fe82fe0e5fe</x:v>
      </x:c>
      <x:c r="B56" s="2" t="str">
        <x:v>Interfor Corporation</x:v>
      </x:c>
      <x:c r="C56" s="2" t="str">
        <x:v>Ian M. Fillinger</x:v>
      </x:c>
      <x:c r="D56" s="16" t="d">
        <x:v>2025-12-31T12:00:00.000Z</x:v>
      </x:c>
      <x:c r="E56" s="2" t="str">
        <x:v>share_awards</x:v>
      </x:c>
      <x:c r="F56" s="15" t="str">
        <x:v>Share Based Awards (1)(2)</x:v>
      </x:c>
      <x:c r="G56" s="2" t="str">
        <x:v>1,983,925</x:v>
      </x:c>
      <x:c r="H56" s="12" t="n">
        <x:v>1983925</x:v>
      </x:c>
      <x:c r="I56" s="13" t="str">
        <x:v>CAD</x:v>
      </x:c>
      <x:c r="J56" s="13" t="n">
        <x:v>1</x:v>
      </x:c>
      <x:c r="K56" s="14" t="n">
        <x:v>1</x:v>
      </x:c>
      <x:c r="L56" s="10" t="n">
        <x:f>IF(AND(ISNUMBER(H56),ISNUMBER(J56),ISNUMBER(K56)),H56*J56*K56,"")</x:f>
        <x:v>1983925</x:v>
      </x:c>
      <x:c r="M56" s="2" t="str">
        <x:v>reported</x:v>
      </x:c>
      <x:c r="N56" s="2" t="str">
        <x:v>No</x:v>
      </x:c>
      <x:c r="O56" s="17"/>
      <x:c r="P56" s="15" t="str"/>
      <x:c r="Q56" s="16" t="d">
        <x:v>2026-03-17T12:00:00.000Z</x:v>
      </x:c>
      <x:c r="R56" s="15" t="str">
        <x:v>Summary Compensation Table</x:v>
      </x:c>
      <x:c r="S56" s="2" t="n">
        <x:v>54</x:v>
      </x:c>
      <x:c r="T56" s="15" t="str">
        <x:v>interfor_circular.pdf</x:v>
      </x:c>
      <x:c r="U56" s="15" t="str">
        <x:v>https://interfor.com/wp-content/uploads/2026/03/Information-Circular.pdf</x:v>
      </x:c>
      <x:c r="V56" s="15" t="str">
        <x:v>62f51d3625c51cfac54e4777b67a1bfbaa6e39bc401662ebdd3ed347167ab3ab</x:v>
      </x:c>
      <x:c r="W56" s="15" t="str">
        <x:v>PDF pp.54-55, SCT notes (1)-(9). Awards are grant-date fair values. Some US employees already translated to CAD by issuer; do not reconvert.</x:v>
      </x:c>
      <x:c r="X56" s="15" t="str">
        <x:v>Reported table value; no award revaluation or reconstruction.</x:v>
      </x:c>
      <x:c r="Y56" s="15" t="str"/>
      <x:c r="Z56" s="2"/>
      <x:c r="AA56" s="2" t="str">
        <x:v>interfor</x:v>
      </x:c>
      <x:c r="AB56" s="2" t="n">
        <x:v>54</x:v>
      </x:c>
      <x:c r="AC56" s="2" t="n">
        <x:v>13</x:v>
      </x:c>
      <x:c r="AD56" s="15" t="str">
        <x:v>alu e(4) Compe (5 n ) s ation Compe (6 n ) s ation</x:v>
      </x:c>
    </x:row>
    <x:row r="57" ht="48" customHeight="1">
      <x:c r="A57" s="2" t="str">
        <x:v>e13ee60f4fe82fe0e5fe</x:v>
      </x:c>
      <x:c r="B57" s="2" t="str">
        <x:v>Interfor Corporation</x:v>
      </x:c>
      <x:c r="C57" s="2" t="str">
        <x:v>Ian M. Fillinger</x:v>
      </x:c>
      <x:c r="D57" s="16" t="d">
        <x:v>2025-12-31T12:00:00.000Z</x:v>
      </x:c>
      <x:c r="E57" s="2" t="str">
        <x:v>option_awards</x:v>
      </x:c>
      <x:c r="F57" s="15" t="str">
        <x:v>Option Based Awards</x:v>
      </x:c>
      <x:c r="G57" s="2" t="str">
        <x:v>-</x:v>
      </x:c>
      <x:c r="H57" s="12"/>
      <x:c r="I57" s="13" t="str">
        <x:v>CAD</x:v>
      </x:c>
      <x:c r="J57" s="13" t="n">
        <x:v>1</x:v>
      </x:c>
      <x:c r="K57" s="14"/>
      <x:c r="L57" s="10" t="str">
        <x:f>IF(AND(ISNUMBER(H57),ISNUMBER(J57),ISNUMBER(K57)),H57*J57*K57,"")</x:f>
      </x:c>
      <x:c r="M57" s="2" t="str">
        <x:v>uncertain</x:v>
      </x:c>
      <x:c r="N57" s="2" t="str">
        <x:v>No</x:v>
      </x:c>
      <x:c r="O57" s="17"/>
      <x:c r="P57" s="15" t="str"/>
      <x:c r="Q57" s="16" t="d">
        <x:v>2026-03-17T12:00:00.000Z</x:v>
      </x:c>
      <x:c r="R57" s="15" t="str">
        <x:v>Summary Compensation Table</x:v>
      </x:c>
      <x:c r="S57" s="2" t="n">
        <x:v>54</x:v>
      </x:c>
      <x:c r="T57" s="15" t="str">
        <x:v>interfor_circular.pdf</x:v>
      </x:c>
      <x:c r="U57" s="15" t="str">
        <x:v>https://interfor.com/wp-content/uploads/2026/03/Information-Circular.pdf</x:v>
      </x:c>
      <x:c r="V57" s="15" t="str">
        <x:v>62f51d3625c51cfac54e4777b67a1bfbaa6e39bc401662ebdd3ed347167ab3ab</x:v>
      </x:c>
      <x:c r="W57" s="15" t="str">
        <x:v>PDF pp.54-55, SCT notes (1)-(9). Awards are grant-date fair values. Some US employees already translated to CAD by issuer; do not reconvert.</x:v>
      </x:c>
      <x:c r="X57" s="15" t="str">
        <x:v>Reported table value; no award revaluation or reconstruction.</x:v>
      </x:c>
      <x:c r="Y57" s="15" t="str">
        <x:v>Source dash has no verified numeric meaning</x:v>
      </x:c>
      <x:c r="Z57" s="2"/>
      <x:c r="AA57" s="2" t="str">
        <x:v>interfor</x:v>
      </x:c>
      <x:c r="AB57" s="2" t="n">
        <x:v>54</x:v>
      </x:c>
      <x:c r="AC57" s="2" t="n">
        <x:v>14</x:v>
      </x:c>
      <x:c r="AD57" s="15" t="str">
        <x:v>Plans(3)</x:v>
      </x:c>
    </x:row>
    <x:row r="58" ht="48" customHeight="1">
      <x:c r="A58" s="2" t="str">
        <x:v>e13ee60f4fe82fe0e5fe</x:v>
      </x:c>
      <x:c r="B58" s="2" t="str">
        <x:v>Interfor Corporation</x:v>
      </x:c>
      <x:c r="C58" s="2" t="str">
        <x:v>Ian M. Fillinger</x:v>
      </x:c>
      <x:c r="D58" s="16" t="d">
        <x:v>2025-12-31T12:00:00.000Z</x:v>
      </x:c>
      <x:c r="E58" s="2" t="str">
        <x:v>annual_incentive</x:v>
      </x:c>
      <x:c r="F58" s="15" t="str">
        <x:v>Non-Equity Incentive Plan Compensation - Annual Incentive Plans(3)</x:v>
      </x:c>
      <x:c r="G58" s="2" t="str">
        <x:v>-</x:v>
      </x:c>
      <x:c r="H58" s="12"/>
      <x:c r="I58" s="13" t="str">
        <x:v>CAD</x:v>
      </x:c>
      <x:c r="J58" s="13" t="n">
        <x:v>1</x:v>
      </x:c>
      <x:c r="K58" s="14"/>
      <x:c r="L58" s="10" t="str">
        <x:f>IF(AND(ISNUMBER(H58),ISNUMBER(J58),ISNUMBER(K58)),H58*J58*K58,"")</x:f>
      </x:c>
      <x:c r="M58" s="2" t="str">
        <x:v>uncertain</x:v>
      </x:c>
      <x:c r="N58" s="2" t="str">
        <x:v>No</x:v>
      </x:c>
      <x:c r="O58" s="17"/>
      <x:c r="P58" s="15" t="str"/>
      <x:c r="Q58" s="16" t="d">
        <x:v>2026-03-17T12:00:00.000Z</x:v>
      </x:c>
      <x:c r="R58" s="15" t="str">
        <x:v>Summary Compensation Table</x:v>
      </x:c>
      <x:c r="S58" s="2" t="n">
        <x:v>54</x:v>
      </x:c>
      <x:c r="T58" s="15" t="str">
        <x:v>interfor_circular.pdf</x:v>
      </x:c>
      <x:c r="U58" s="15" t="str">
        <x:v>https://interfor.com/wp-content/uploads/2026/03/Information-Circular.pdf</x:v>
      </x:c>
      <x:c r="V58" s="15" t="str">
        <x:v>62f51d3625c51cfac54e4777b67a1bfbaa6e39bc401662ebdd3ed347167ab3ab</x:v>
      </x:c>
      <x:c r="W58" s="15" t="str">
        <x:v>PDF pp.54-55, SCT notes (1)-(9). Awards are grant-date fair values. Some US employees already translated to CAD by issuer; do not reconvert.</x:v>
      </x:c>
      <x:c r="X58" s="15" t="str">
        <x:v>Annual short-term incentive heading; direct mapping, no long-term amounts combined.</x:v>
      </x:c>
      <x:c r="Y58" s="15" t="str">
        <x:v>Source dash has no verified numeric meaning</x:v>
      </x:c>
      <x:c r="Z58" s="2"/>
      <x:c r="AA58" s="2" t="str">
        <x:v>interfor</x:v>
      </x:c>
      <x:c r="AB58" s="2" t="n">
        <x:v>54</x:v>
      </x:c>
      <x:c r="AC58" s="2" t="n">
        <x:v>15</x:v>
      </x:c>
      <x:c r="AD58" s="15" t="str">
        <x:v>Plans</x:v>
      </x:c>
    </x:row>
    <x:row r="59" ht="48" customHeight="1">
      <x:c r="A59" s="2" t="str">
        <x:v>e13ee60f4fe82fe0e5fe</x:v>
      </x:c>
      <x:c r="B59" s="2" t="str">
        <x:v>Interfor Corporation</x:v>
      </x:c>
      <x:c r="C59" s="2" t="str">
        <x:v>Ian M. Fillinger</x:v>
      </x:c>
      <x:c r="D59" s="16" t="d">
        <x:v>2025-12-31T12:00:00.000Z</x:v>
      </x:c>
      <x:c r="E59" s="2" t="str">
        <x:v>long_term_incentive</x:v>
      </x:c>
      <x:c r="F59" s="15" t="str">
        <x:v>Non-Equity Incentive Plan Compensation - Long-term Incentive Plans</x:v>
      </x:c>
      <x:c r="G59" s="2" t="str">
        <x:v>-</x:v>
      </x:c>
      <x:c r="H59" s="12"/>
      <x:c r="I59" s="13" t="str">
        <x:v>CAD</x:v>
      </x:c>
      <x:c r="J59" s="13" t="n">
        <x:v>1</x:v>
      </x:c>
      <x:c r="K59" s="14"/>
      <x:c r="L59" s="10" t="str">
        <x:f>IF(AND(ISNUMBER(H59),ISNUMBER(J59),ISNUMBER(K59)),H59*J59*K59,"")</x:f>
      </x:c>
      <x:c r="M59" s="2" t="str">
        <x:v>uncertain</x:v>
      </x:c>
      <x:c r="N59" s="2" t="str">
        <x:v>No</x:v>
      </x:c>
      <x:c r="O59" s="17"/>
      <x:c r="P59" s="15" t="str"/>
      <x:c r="Q59" s="16" t="d">
        <x:v>2026-03-17T12:00:00.000Z</x:v>
      </x:c>
      <x:c r="R59" s="15" t="str">
        <x:v>Summary Compensation Table</x:v>
      </x:c>
      <x:c r="S59" s="2" t="n">
        <x:v>54</x:v>
      </x:c>
      <x:c r="T59" s="15" t="str">
        <x:v>interfor_circular.pdf</x:v>
      </x:c>
      <x:c r="U59" s="15" t="str">
        <x:v>https://interfor.com/wp-content/uploads/2026/03/Information-Circular.pdf</x:v>
      </x:c>
      <x:c r="V59" s="15" t="str">
        <x:v>62f51d3625c51cfac54e4777b67a1bfbaa6e39bc401662ebdd3ed347167ab3ab</x:v>
      </x:c>
      <x:c r="W59" s="15" t="str">
        <x:v>PDF pp.54-55, SCT notes (1)-(9). Awards are grant-date fair values. Some US employees already translated to CAD by issuer; do not reconvert.</x:v>
      </x:c>
      <x:c r="X59" s="15" t="str">
        <x:v>Reported table value; no award revaluation or reconstruction.</x:v>
      </x:c>
      <x:c r="Y59" s="15" t="str">
        <x:v>Source dash has no verified numeric meaning</x:v>
      </x:c>
      <x:c r="Z59" s="2"/>
      <x:c r="AA59" s="2" t="str">
        <x:v>interfor</x:v>
      </x:c>
      <x:c r="AB59" s="2" t="n">
        <x:v>54</x:v>
      </x:c>
      <x:c r="AC59" s="2" t="n">
        <x:v>16</x:v>
      </x:c>
      <x:c r="AD59" s="15" t="str">
        <x:v>$ $ $ $ $ $ $ $ $</x:v>
      </x:c>
    </x:row>
    <x:row r="60" ht="48" customHeight="1">
      <x:c r="A60" s="2" t="str">
        <x:v>e13ee60f4fe82fe0e5fe</x:v>
      </x:c>
      <x:c r="B60" s="2" t="str">
        <x:v>Interfor Corporation</x:v>
      </x:c>
      <x:c r="C60" s="2" t="str">
        <x:v>Ian M. Fillinger</x:v>
      </x:c>
      <x:c r="D60" s="16" t="d">
        <x:v>2025-12-31T12:00:00.000Z</x:v>
      </x:c>
      <x:c r="E60" s="2" t="str">
        <x:v>pension</x:v>
      </x:c>
      <x:c r="F60" s="15" t="str">
        <x:v>Pension Value(4)</x:v>
      </x:c>
      <x:c r="G60" s="2" t="str">
        <x:v>89,134</x:v>
      </x:c>
      <x:c r="H60" s="12" t="n">
        <x:v>89134</x:v>
      </x:c>
      <x:c r="I60" s="13" t="str">
        <x:v>CAD</x:v>
      </x:c>
      <x:c r="J60" s="13" t="n">
        <x:v>1</x:v>
      </x:c>
      <x:c r="K60" s="14" t="n">
        <x:v>1</x:v>
      </x:c>
      <x:c r="L60" s="10" t="n">
        <x:f>IF(AND(ISNUMBER(H60),ISNUMBER(J60),ISNUMBER(K60)),H60*J60*K60,"")</x:f>
        <x:v>89134</x:v>
      </x:c>
      <x:c r="M60" s="2" t="str">
        <x:v>reported</x:v>
      </x:c>
      <x:c r="N60" s="2" t="str">
        <x:v>No</x:v>
      </x:c>
      <x:c r="O60" s="17"/>
      <x:c r="P60" s="15" t="str"/>
      <x:c r="Q60" s="16" t="d">
        <x:v>2026-03-17T12:00:00.000Z</x:v>
      </x:c>
      <x:c r="R60" s="15" t="str">
        <x:v>Summary Compensation Table</x:v>
      </x:c>
      <x:c r="S60" s="2" t="n">
        <x:v>54</x:v>
      </x:c>
      <x:c r="T60" s="15" t="str">
        <x:v>interfor_circular.pdf</x:v>
      </x:c>
      <x:c r="U60" s="15" t="str">
        <x:v>https://interfor.com/wp-content/uploads/2026/03/Information-Circular.pdf</x:v>
      </x:c>
      <x:c r="V60" s="15" t="str">
        <x:v>62f51d3625c51cfac54e4777b67a1bfbaa6e39bc401662ebdd3ed347167ab3ab</x:v>
      </x:c>
      <x:c r="W60" s="15" t="str">
        <x:v>PDF pp.54-55, SCT notes (1)-(9). Awards are grant-date fair values. Some US employees already translated to CAD by issuer; do not reconvert.</x:v>
      </x:c>
      <x:c r="X60" s="15" t="str">
        <x:v>Reported table value; no award revaluation or reconstruction.</x:v>
      </x:c>
      <x:c r="Y60" s="15" t="str"/>
      <x:c r="Z60" s="2"/>
      <x:c r="AA60" s="2" t="str">
        <x:v>interfor</x:v>
      </x:c>
      <x:c r="AB60" s="2" t="n">
        <x:v>54</x:v>
      </x:c>
      <x:c r="AC60" s="2" t="n">
        <x:v>17</x:v>
      </x:c>
      <x:c r="AD60" s="15" t="str">
        <x:v>Ian M. Fillinger 2025 873,457 1,983,925 - - - 89,134 181,706 3,128,221</x:v>
      </x:c>
    </x:row>
    <x:row r="61" ht="48" customHeight="1">
      <x:c r="A61" s="2" t="str">
        <x:v>e13ee60f4fe82fe0e5fe</x:v>
      </x:c>
      <x:c r="B61" s="2" t="str">
        <x:v>Interfor Corporation</x:v>
      </x:c>
      <x:c r="C61" s="2" t="str">
        <x:v>Ian M. Fillinger</x:v>
      </x:c>
      <x:c r="D61" s="16" t="d">
        <x:v>2025-12-31T12:00:00.000Z</x:v>
      </x:c>
      <x:c r="E61" s="2" t="str">
        <x:v>other</x:v>
      </x:c>
      <x:c r="F61" s="15" t="str">
        <x:v>All Other Compensation(5)</x:v>
      </x:c>
      <x:c r="G61" s="2" t="str">
        <x:v>181,706</x:v>
      </x:c>
      <x:c r="H61" s="12" t="n">
        <x:v>181706</x:v>
      </x:c>
      <x:c r="I61" s="13" t="str">
        <x:v>CAD</x:v>
      </x:c>
      <x:c r="J61" s="13" t="n">
        <x:v>1</x:v>
      </x:c>
      <x:c r="K61" s="14" t="n">
        <x:v>1</x:v>
      </x:c>
      <x:c r="L61" s="10" t="n">
        <x:f>IF(AND(ISNUMBER(H61),ISNUMBER(J61),ISNUMBER(K61)),H61*J61*K61,"")</x:f>
        <x:v>181706</x:v>
      </x:c>
      <x:c r="M61" s="2" t="str">
        <x:v>reported</x:v>
      </x:c>
      <x:c r="N61" s="2" t="str">
        <x:v>No</x:v>
      </x:c>
      <x:c r="O61" s="17"/>
      <x:c r="P61" s="15" t="str"/>
      <x:c r="Q61" s="16" t="d">
        <x:v>2026-03-17T12:00:00.000Z</x:v>
      </x:c>
      <x:c r="R61" s="15" t="str">
        <x:v>Summary Compensation Table</x:v>
      </x:c>
      <x:c r="S61" s="2" t="n">
        <x:v>54</x:v>
      </x:c>
      <x:c r="T61" s="15" t="str">
        <x:v>interfor_circular.pdf</x:v>
      </x:c>
      <x:c r="U61" s="15" t="str">
        <x:v>https://interfor.com/wp-content/uploads/2026/03/Information-Circular.pdf</x:v>
      </x:c>
      <x:c r="V61" s="15" t="str">
        <x:v>62f51d3625c51cfac54e4777b67a1bfbaa6e39bc401662ebdd3ed347167ab3ab</x:v>
      </x:c>
      <x:c r="W61" s="15" t="str">
        <x:v>PDF pp.54-55, SCT notes (1)-(9). Awards are grant-date fair values. Some US employees already translated to CAD by issuer; do not reconvert.</x:v>
      </x:c>
      <x:c r="X61" s="15" t="str">
        <x:v>Reported table value; no award revaluation or reconstruction.</x:v>
      </x:c>
      <x:c r="Y61" s="15" t="str"/>
      <x:c r="Z61" s="2"/>
      <x:c r="AA61" s="2" t="str">
        <x:v>interfor</x:v>
      </x:c>
      <x:c r="AB61" s="2" t="n">
        <x:v>54</x:v>
      </x:c>
      <x:c r="AC61" s="2" t="n">
        <x:v>18</x:v>
      </x:c>
      <x:c r="AD61" s="15" t="str">
        <x:v>President &amp; 2024 842,400 2,023,501 - - - 209,744 157,197 3,232,842</x:v>
      </x:c>
    </x:row>
    <x:row r="62" ht="48" customHeight="1">
      <x:c r="A62" s="2" t="str">
        <x:v>b59031b4163a1cc62117</x:v>
      </x:c>
      <x:c r="B62" s="2" t="str">
        <x:v>Methanex Corporation</x:v>
      </x:c>
      <x:c r="C62" s="2" t="str">
        <x:v>Dean Richardson</x:v>
      </x:c>
      <x:c r="D62" s="16" t="d">
        <x:v>2025-12-31T12:00:00.000Z</x:v>
      </x:c>
      <x:c r="E62" s="2" t="str">
        <x:v>total</x:v>
      </x:c>
      <x:c r="F62" s="15" t="str">
        <x:v>Total Compensation</x:v>
      </x:c>
      <x:c r="G62" s="2" t="str">
        <x:v>3,051,560</x:v>
      </x:c>
      <x:c r="H62" s="12" t="n">
        <x:v>3051560</x:v>
      </x:c>
      <x:c r="I62" s="13" t="str">
        <x:v>CAD</x:v>
      </x:c>
      <x:c r="J62" s="13" t="n">
        <x:v>1</x:v>
      </x:c>
      <x:c r="K62" s="14" t="n">
        <x:v>1</x:v>
      </x:c>
      <x:c r="L62" s="10" t="n">
        <x:f>IF(AND(ISNUMBER(H62),ISNUMBER(J62),ISNUMBER(K62)),H62*J62*K62,"")</x:f>
        <x:v>3051560</x:v>
      </x:c>
      <x:c r="M62" s="2" t="str">
        <x:v>reported</x:v>
      </x:c>
      <x:c r="N62" s="2" t="str">
        <x:v>No</x:v>
      </x:c>
      <x:c r="O62" s="17"/>
      <x:c r="P62" s="15" t="str"/>
      <x:c r="Q62" s="16" t="d">
        <x:v>2026-03-09T12:00:00.000Z</x:v>
      </x:c>
      <x:c r="R62" s="15" t="str">
        <x:v>Summary Compensation Table</x:v>
      </x:c>
      <x:c r="S62" s="2" t="n">
        <x:v>89</x:v>
      </x:c>
      <x:c r="T62" s="15" t="str">
        <x:v>methanex_circular.pdf</x:v>
      </x:c>
      <x:c r="U62" s="15" t="str">
        <x:v>https://www.methanex.com/wp-content/uploads/2026-Information-Circular.pdf</x:v>
      </x:c>
      <x:c r="V62" s="15" t="str">
        <x:v>52a00ac52176b80ff10264bb3579ff939ece4db1c590d62a2843d5bf6729e6ce</x:v>
      </x:c>
      <x:c r="W62" s="15" t="str">
        <x:v>PDF pp.89-90, SCT notes (1)-(7). Grant-date awards retained; issuer-translated CAD values retained. Annual incentive earned in year, not payment year.</x:v>
      </x:c>
      <x:c r="X62" s="15" t="str">
        <x:v>Reported table value; no award revaluation or reconstruction.</x:v>
      </x:c>
      <x:c r="Y62" s="15" t="str"/>
      <x:c r="Z62" s="2"/>
      <x:c r="AA62" s="2" t="str">
        <x:v>interfor</x:v>
      </x:c>
      <x:c r="AB62" s="2" t="n">
        <x:v>54</x:v>
      </x:c>
      <x:c r="AC62" s="2" t="n">
        <x:v>19</x:v>
      </x:c>
      <x:c r="AD62" s="15" t="str">
        <x:v>Chief Executive 2023 823,500 2,175,875 - 884,520 - 357,753 143,851 4,385,499</x:v>
      </x:c>
    </x:row>
    <x:row r="63" ht="48" customHeight="1">
      <x:c r="A63" s="2" t="str">
        <x:v>b59031b4163a1cc62117</x:v>
      </x:c>
      <x:c r="B63" s="2" t="str">
        <x:v>Methanex Corporation</x:v>
      </x:c>
      <x:c r="C63" s="2" t="str">
        <x:v>Dean Richardson</x:v>
      </x:c>
      <x:c r="D63" s="16" t="d">
        <x:v>2025-12-31T12:00:00.000Z</x:v>
      </x:c>
      <x:c r="E63" s="2" t="str">
        <x:v>salary</x:v>
      </x:c>
      <x:c r="F63" s="15" t="str">
        <x:v>Base Salary(2)</x:v>
      </x:c>
      <x:c r="G63" s="2" t="str">
        <x:v>661,500</x:v>
      </x:c>
      <x:c r="H63" s="12" t="n">
        <x:v>661500</x:v>
      </x:c>
      <x:c r="I63" s="13" t="str">
        <x:v>CAD</x:v>
      </x:c>
      <x:c r="J63" s="13" t="n">
        <x:v>1</x:v>
      </x:c>
      <x:c r="K63" s="14" t="n">
        <x:v>1</x:v>
      </x:c>
      <x:c r="L63" s="10" t="n">
        <x:f>IF(AND(ISNUMBER(H63),ISNUMBER(J63),ISNUMBER(K63)),H63*J63*K63,"")</x:f>
        <x:v>661500</x:v>
      </x:c>
      <x:c r="M63" s="2" t="str">
        <x:v>reported</x:v>
      </x:c>
      <x:c r="N63" s="2" t="str">
        <x:v>No</x:v>
      </x:c>
      <x:c r="O63" s="17"/>
      <x:c r="P63" s="15" t="str"/>
      <x:c r="Q63" s="16" t="d">
        <x:v>2026-03-09T12:00:00.000Z</x:v>
      </x:c>
      <x:c r="R63" s="15" t="str">
        <x:v>Summary Compensation Table</x:v>
      </x:c>
      <x:c r="S63" s="2" t="n">
        <x:v>89</x:v>
      </x:c>
      <x:c r="T63" s="15" t="str">
        <x:v>methanex_circular.pdf</x:v>
      </x:c>
      <x:c r="U63" s="15" t="str">
        <x:v>https://www.methanex.com/wp-content/uploads/2026-Information-Circular.pdf</x:v>
      </x:c>
      <x:c r="V63" s="15" t="str">
        <x:v>52a00ac52176b80ff10264bb3579ff939ece4db1c590d62a2843d5bf6729e6ce</x:v>
      </x:c>
      <x:c r="W63" s="15" t="str">
        <x:v>PDF pp.89-90, SCT notes (1)-(7). Grant-date awards retained; issuer-translated CAD values retained. Annual incentive earned in year, not payment year.</x:v>
      </x:c>
      <x:c r="X63" s="15" t="str">
        <x:v>Reported table value; no award revaluation or reconstruction.</x:v>
      </x:c>
      <x:c r="Y63" s="15" t="str"/>
      <x:c r="Z63" s="2"/>
      <x:c r="AA63" s="2" t="str">
        <x:v>interfor</x:v>
      </x:c>
      <x:c r="AB63" s="2" t="n">
        <x:v>54</x:v>
      </x:c>
      <x:c r="AC63" s="2" t="n">
        <x:v>20</x:v>
      </x:c>
      <x:c r="AD63" s="15" t="str">
        <x:v>Officer</x:v>
      </x:c>
    </x:row>
    <x:row r="64" ht="48" customHeight="1">
      <x:c r="A64" s="2" t="str">
        <x:v>b59031b4163a1cc62117</x:v>
      </x:c>
      <x:c r="B64" s="2" t="str">
        <x:v>Methanex Corporation</x:v>
      </x:c>
      <x:c r="C64" s="2" t="str">
        <x:v>Dean Richardson</x:v>
      </x:c>
      <x:c r="D64" s="16" t="d">
        <x:v>2025-12-31T12:00:00.000Z</x:v>
      </x:c>
      <x:c r="E64" s="2" t="str">
        <x:v>share_awards</x:v>
      </x:c>
      <x:c r="F64" s="15" t="str">
        <x:v>Share-Based Awards(3)</x:v>
      </x:c>
      <x:c r="G64" s="2" t="str">
        <x:v>754,253</x:v>
      </x:c>
      <x:c r="H64" s="12" t="n">
        <x:v>754253</x:v>
      </x:c>
      <x:c r="I64" s="13" t="str">
        <x:v>CAD</x:v>
      </x:c>
      <x:c r="J64" s="13" t="n">
        <x:v>1</x:v>
      </x:c>
      <x:c r="K64" s="14" t="n">
        <x:v>1</x:v>
      </x:c>
      <x:c r="L64" s="10" t="n">
        <x:f>IF(AND(ISNUMBER(H64),ISNUMBER(J64),ISNUMBER(K64)),H64*J64*K64,"")</x:f>
        <x:v>754253</x:v>
      </x:c>
      <x:c r="M64" s="2" t="str">
        <x:v>reported</x:v>
      </x:c>
      <x:c r="N64" s="2" t="str">
        <x:v>No</x:v>
      </x:c>
      <x:c r="O64" s="17"/>
      <x:c r="P64" s="15" t="str"/>
      <x:c r="Q64" s="16" t="d">
        <x:v>2026-03-09T12:00:00.000Z</x:v>
      </x:c>
      <x:c r="R64" s="15" t="str">
        <x:v>Summary Compensation Table</x:v>
      </x:c>
      <x:c r="S64" s="2" t="n">
        <x:v>89</x:v>
      </x:c>
      <x:c r="T64" s="15" t="str">
        <x:v>methanex_circular.pdf</x:v>
      </x:c>
      <x:c r="U64" s="15" t="str">
        <x:v>https://www.methanex.com/wp-content/uploads/2026-Information-Circular.pdf</x:v>
      </x:c>
      <x:c r="V64" s="15" t="str">
        <x:v>52a00ac52176b80ff10264bb3579ff939ece4db1c590d62a2843d5bf6729e6ce</x:v>
      </x:c>
      <x:c r="W64" s="15" t="str">
        <x:v>PDF pp.89-90, SCT notes (1)-(7). Grant-date awards retained; issuer-translated CAD values retained. Annual incentive earned in year, not payment year.</x:v>
      </x:c>
      <x:c r="X64" s="15" t="str">
        <x:v>Reported table value; no award revaluation or reconstruction.</x:v>
      </x:c>
      <x:c r="Y64" s="15" t="str"/>
      <x:c r="Z64" s="2"/>
      <x:c r="AA64" s="2" t="str">
        <x:v>interfor</x:v>
      </x:c>
      <x:c r="AB64" s="2" t="n">
        <x:v>54</x:v>
      </x:c>
      <x:c r="AC64" s="2" t="n">
        <x:v>21</x:v>
      </x:c>
      <x:c r="AD64" s="15" t="str">
        <x:v>Michael C. 2025 384,407 266,666 - - - 20,667 64,130 735,870</x:v>
      </x:c>
    </x:row>
    <x:row r="65" ht="48" customHeight="1">
      <x:c r="A65" s="2" t="str">
        <x:v>b59031b4163a1cc62117</x:v>
      </x:c>
      <x:c r="B65" s="2" t="str">
        <x:v>Methanex Corporation</x:v>
      </x:c>
      <x:c r="C65" s="2" t="str">
        <x:v>Dean Richardson</x:v>
      </x:c>
      <x:c r="D65" s="16" t="d">
        <x:v>2025-12-31T12:00:00.000Z</x:v>
      </x:c>
      <x:c r="E65" s="2" t="str">
        <x:v>option_awards</x:v>
      </x:c>
      <x:c r="F65" s="15" t="str">
        <x:v>Option-Based Awards(4)</x:v>
      </x:c>
      <x:c r="G65" s="2" t="str">
        <x:v>756,711</x:v>
      </x:c>
      <x:c r="H65" s="12" t="n">
        <x:v>756711</x:v>
      </x:c>
      <x:c r="I65" s="13" t="str">
        <x:v>CAD</x:v>
      </x:c>
      <x:c r="J65" s="13" t="n">
        <x:v>1</x:v>
      </x:c>
      <x:c r="K65" s="14" t="n">
        <x:v>1</x:v>
      </x:c>
      <x:c r="L65" s="10" t="n">
        <x:f>IF(AND(ISNUMBER(H65),ISNUMBER(J65),ISNUMBER(K65)),H65*J65*K65,"")</x:f>
        <x:v>756711</x:v>
      </x:c>
      <x:c r="M65" s="2" t="str">
        <x:v>reported</x:v>
      </x:c>
      <x:c r="N65" s="2" t="str">
        <x:v>No</x:v>
      </x:c>
      <x:c r="O65" s="17"/>
      <x:c r="P65" s="15" t="str"/>
      <x:c r="Q65" s="16" t="d">
        <x:v>2026-03-09T12:00:00.000Z</x:v>
      </x:c>
      <x:c r="R65" s="15" t="str">
        <x:v>Summary Compensation Table</x:v>
      </x:c>
      <x:c r="S65" s="2" t="n">
        <x:v>89</x:v>
      </x:c>
      <x:c r="T65" s="15" t="str">
        <x:v>methanex_circular.pdf</x:v>
      </x:c>
      <x:c r="U65" s="15" t="str">
        <x:v>https://www.methanex.com/wp-content/uploads/2026-Information-Circular.pdf</x:v>
      </x:c>
      <x:c r="V65" s="15" t="str">
        <x:v>52a00ac52176b80ff10264bb3579ff939ece4db1c590d62a2843d5bf6729e6ce</x:v>
      </x:c>
      <x:c r="W65" s="15" t="str">
        <x:v>PDF pp.89-90, SCT notes (1)-(7). Grant-date awards retained; issuer-translated CAD values retained. Annual incentive earned in year, not payment year.</x:v>
      </x:c>
      <x:c r="X65" s="15" t="str">
        <x:v>Reported table value; no award revaluation or reconstruction.</x:v>
      </x:c>
      <x:c r="Y65" s="15" t="str"/>
      <x:c r="Z65" s="2"/>
      <x:c r="AA65" s="2" t="str">
        <x:v>interfor</x:v>
      </x:c>
      <x:c r="AB65" s="2" t="n">
        <x:v>54</x:v>
      </x:c>
      <x:c r="AC65" s="2" t="n">
        <x:v>22</x:v>
      </x:c>
      <x:c r="AD65" s="15" t="str">
        <x:v>Mackay, 2024 350,000 170,760 - - - 41,475 63,914 626,149</x:v>
      </x:c>
    </x:row>
    <x:row r="66" ht="48" customHeight="1">
      <x:c r="A66" s="2" t="str">
        <x:v>b59031b4163a1cc62117</x:v>
      </x:c>
      <x:c r="B66" s="2" t="str">
        <x:v>Methanex Corporation</x:v>
      </x:c>
      <x:c r="C66" s="2" t="str">
        <x:v>Dean Richardson</x:v>
      </x:c>
      <x:c r="D66" s="16" t="d">
        <x:v>2025-12-31T12:00:00.000Z</x:v>
      </x:c>
      <x:c r="E66" s="2" t="str">
        <x:v>annual_incentive</x:v>
      </x:c>
      <x:c r="F66" s="15" t="str">
        <x:v>Non-Equity Incentive Plan Compensation - Annual Incentive Plans(5)</x:v>
      </x:c>
      <x:c r="G66" s="2" t="str">
        <x:v>650,000</x:v>
      </x:c>
      <x:c r="H66" s="12" t="n">
        <x:v>650000</x:v>
      </x:c>
      <x:c r="I66" s="13" t="str">
        <x:v>CAD</x:v>
      </x:c>
      <x:c r="J66" s="13" t="n">
        <x:v>1</x:v>
      </x:c>
      <x:c r="K66" s="14" t="n">
        <x:v>1</x:v>
      </x:c>
      <x:c r="L66" s="10" t="n">
        <x:f>IF(AND(ISNUMBER(H66),ISNUMBER(J66),ISNUMBER(K66)),H66*J66*K66,"")</x:f>
        <x:v>650000</x:v>
      </x:c>
      <x:c r="M66" s="2" t="str">
        <x:v>reported</x:v>
      </x:c>
      <x:c r="N66" s="2" t="str">
        <x:v>No</x:v>
      </x:c>
      <x:c r="O66" s="17"/>
      <x:c r="P66" s="15" t="str"/>
      <x:c r="Q66" s="16" t="d">
        <x:v>2026-03-09T12:00:00.000Z</x:v>
      </x:c>
      <x:c r="R66" s="15" t="str">
        <x:v>Summary Compensation Table</x:v>
      </x:c>
      <x:c r="S66" s="2" t="n">
        <x:v>89</x:v>
      </x:c>
      <x:c r="T66" s="15" t="str">
        <x:v>methanex_circular.pdf</x:v>
      </x:c>
      <x:c r="U66" s="15" t="str">
        <x:v>https://www.methanex.com/wp-content/uploads/2026-Information-Circular.pdf</x:v>
      </x:c>
      <x:c r="V66" s="15" t="str">
        <x:v>52a00ac52176b80ff10264bb3579ff939ece4db1c590d62a2843d5bf6729e6ce</x:v>
      </x:c>
      <x:c r="W66" s="15" t="str">
        <x:v>PDF pp.89-90, SCT notes (1)-(7). Grant-date awards retained; issuer-translated CAD values retained. Annual incentive earned in year, not payment year.</x:v>
      </x:c>
      <x:c r="X66" s="15" t="str">
        <x:v>Annual short-term incentive heading; direct mapping, no long-term amounts combined.</x:v>
      </x:c>
      <x:c r="Y66" s="15" t="str"/>
      <x:c r="Z66" s="2"/>
      <x:c r="AA66" s="2" t="str">
        <x:v>interfor</x:v>
      </x:c>
      <x:c r="AB66" s="2" t="n">
        <x:v>54</x:v>
      </x:c>
      <x:c r="AC66" s="2" t="n">
        <x:v>23</x:v>
      </x:c>
      <x:c r="AD66" s="15" t="str">
        <x:v>Executive Vice 2023 350,000 186,355 - 175,000 - 68,230 61,649 841,234</x:v>
      </x:c>
    </x:row>
    <x:row r="67" ht="48" customHeight="1">
      <x:c r="A67" s="2" t="str">
        <x:v>b59031b4163a1cc62117</x:v>
      </x:c>
      <x:c r="B67" s="2" t="str">
        <x:v>Methanex Corporation</x:v>
      </x:c>
      <x:c r="C67" s="2" t="str">
        <x:v>Dean Richardson</x:v>
      </x:c>
      <x:c r="D67" s="16" t="d">
        <x:v>2025-12-31T12:00:00.000Z</x:v>
      </x:c>
      <x:c r="E67" s="2" t="str">
        <x:v>long_term_incentive</x:v>
      </x:c>
      <x:c r="F67" s="15" t="str">
        <x:v>Non-Equity Incentive Plan Compensation - Long-Term Incentive Plans</x:v>
      </x:c>
      <x:c r="G67" s="2" t="str">
        <x:v>—</x:v>
      </x:c>
      <x:c r="H67" s="12"/>
      <x:c r="I67" s="13" t="str">
        <x:v>CAD</x:v>
      </x:c>
      <x:c r="J67" s="13" t="n">
        <x:v>1</x:v>
      </x:c>
      <x:c r="K67" s="14"/>
      <x:c r="L67" s="10" t="str">
        <x:f>IF(AND(ISNUMBER(H67),ISNUMBER(J67),ISNUMBER(K67)),H67*J67*K67,"")</x:f>
      </x:c>
      <x:c r="M67" s="2" t="str">
        <x:v>uncertain</x:v>
      </x:c>
      <x:c r="N67" s="2" t="str">
        <x:v>No</x:v>
      </x:c>
      <x:c r="O67" s="17"/>
      <x:c r="P67" s="15" t="str"/>
      <x:c r="Q67" s="16" t="d">
        <x:v>2026-03-09T12:00:00.000Z</x:v>
      </x:c>
      <x:c r="R67" s="15" t="str">
        <x:v>Summary Compensation Table</x:v>
      </x:c>
      <x:c r="S67" s="2" t="n">
        <x:v>89</x:v>
      </x:c>
      <x:c r="T67" s="15" t="str">
        <x:v>methanex_circular.pdf</x:v>
      </x:c>
      <x:c r="U67" s="15" t="str">
        <x:v>https://www.methanex.com/wp-content/uploads/2026-Information-Circular.pdf</x:v>
      </x:c>
      <x:c r="V67" s="15" t="str">
        <x:v>52a00ac52176b80ff10264bb3579ff939ece4db1c590d62a2843d5bf6729e6ce</x:v>
      </x:c>
      <x:c r="W67" s="15" t="str">
        <x:v>PDF pp.89-90, SCT notes (1)-(7). Grant-date awards retained; issuer-translated CAD values retained. Annual incentive earned in year, not payment year.</x:v>
      </x:c>
      <x:c r="X67" s="15" t="str">
        <x:v>Reported table value; no award revaluation or reconstruction.</x:v>
      </x:c>
      <x:c r="Y67" s="15" t="str">
        <x:v>Source dash has no verified numeric meaning</x:v>
      </x:c>
      <x:c r="Z67" s="2"/>
      <x:c r="AA67" s="2" t="str">
        <x:v>interfor</x:v>
      </x:c>
      <x:c r="AB67" s="2" t="n">
        <x:v>54</x:v>
      </x:c>
      <x:c r="AC67" s="2" t="n">
        <x:v>24</x:v>
      </x:c>
      <x:c r="AD67" s="15" t="str">
        <x:v>President &amp;</x:v>
      </x:c>
    </x:row>
    <x:row r="68" ht="48" customHeight="1">
      <x:c r="A68" s="2" t="str">
        <x:v>b59031b4163a1cc62117</x:v>
      </x:c>
      <x:c r="B68" s="2" t="str">
        <x:v>Methanex Corporation</x:v>
      </x:c>
      <x:c r="C68" s="2" t="str">
        <x:v>Dean Richardson</x:v>
      </x:c>
      <x:c r="D68" s="16" t="d">
        <x:v>2025-12-31T12:00:00.000Z</x:v>
      </x:c>
      <x:c r="E68" s="2" t="str">
        <x:v>pension</x:v>
      </x:c>
      <x:c r="F68" s="15" t="str">
        <x:v>Pension Value(6)</x:v>
      </x:c>
      <x:c r="G68" s="2" t="str">
        <x:v>127,339</x:v>
      </x:c>
      <x:c r="H68" s="12" t="n">
        <x:v>127339</x:v>
      </x:c>
      <x:c r="I68" s="13" t="str">
        <x:v>CAD</x:v>
      </x:c>
      <x:c r="J68" s="13" t="n">
        <x:v>1</x:v>
      </x:c>
      <x:c r="K68" s="14" t="n">
        <x:v>1</x:v>
      </x:c>
      <x:c r="L68" s="10" t="n">
        <x:f>IF(AND(ISNUMBER(H68),ISNUMBER(J68),ISNUMBER(K68)),H68*J68*K68,"")</x:f>
        <x:v>127339</x:v>
      </x:c>
      <x:c r="M68" s="2" t="str">
        <x:v>reported</x:v>
      </x:c>
      <x:c r="N68" s="2" t="str">
        <x:v>No</x:v>
      </x:c>
      <x:c r="O68" s="17"/>
      <x:c r="P68" s="15" t="str"/>
      <x:c r="Q68" s="16" t="d">
        <x:v>2026-03-09T12:00:00.000Z</x:v>
      </x:c>
      <x:c r="R68" s="15" t="str">
        <x:v>Summary Compensation Table</x:v>
      </x:c>
      <x:c r="S68" s="2" t="n">
        <x:v>89</x:v>
      </x:c>
      <x:c r="T68" s="15" t="str">
        <x:v>methanex_circular.pdf</x:v>
      </x:c>
      <x:c r="U68" s="15" t="str">
        <x:v>https://www.methanex.com/wp-content/uploads/2026-Information-Circular.pdf</x:v>
      </x:c>
      <x:c r="V68" s="15" t="str">
        <x:v>52a00ac52176b80ff10264bb3579ff939ece4db1c590d62a2843d5bf6729e6ce</x:v>
      </x:c>
      <x:c r="W68" s="15" t="str">
        <x:v>PDF pp.89-90, SCT notes (1)-(7). Grant-date awards retained; issuer-translated CAD values retained. Annual incentive earned in year, not payment year.</x:v>
      </x:c>
      <x:c r="X68" s="15" t="str">
        <x:v>Reported table value; no award revaluation or reconstruction.</x:v>
      </x:c>
      <x:c r="Y68" s="15" t="str"/>
      <x:c r="Z68" s="2"/>
      <x:c r="AA68" s="2" t="str">
        <x:v>interfor</x:v>
      </x:c>
      <x:c r="AB68" s="2" t="n">
        <x:v>54</x:v>
      </x:c>
      <x:c r="AC68" s="2" t="n">
        <x:v>25</x:v>
      </x:c>
      <x:c r="AD68" s="15" t="str">
        <x:v>Chief Financial</x:v>
      </x:c>
    </x:row>
    <x:row r="69" ht="48" customHeight="1">
      <x:c r="A69" s="2" t="str">
        <x:v>b59031b4163a1cc62117</x:v>
      </x:c>
      <x:c r="B69" s="2" t="str">
        <x:v>Methanex Corporation</x:v>
      </x:c>
      <x:c r="C69" s="2" t="str">
        <x:v>Dean Richardson</x:v>
      </x:c>
      <x:c r="D69" s="16" t="d">
        <x:v>2025-12-31T12:00:00.000Z</x:v>
      </x:c>
      <x:c r="E69" s="2" t="str">
        <x:v>other</x:v>
      </x:c>
      <x:c r="F69" s="15" t="str">
        <x:v>All Other Compensation(7)</x:v>
      </x:c>
      <x:c r="G69" s="2" t="str">
        <x:v>101,757</x:v>
      </x:c>
      <x:c r="H69" s="12" t="n">
        <x:v>101757</x:v>
      </x:c>
      <x:c r="I69" s="13" t="str">
        <x:v>CAD</x:v>
      </x:c>
      <x:c r="J69" s="13" t="n">
        <x:v>1</x:v>
      </x:c>
      <x:c r="K69" s="14" t="n">
        <x:v>1</x:v>
      </x:c>
      <x:c r="L69" s="10" t="n">
        <x:f>IF(AND(ISNUMBER(H69),ISNUMBER(J69),ISNUMBER(K69)),H69*J69*K69,"")</x:f>
        <x:v>101757</x:v>
      </x:c>
      <x:c r="M69" s="2" t="str">
        <x:v>reported</x:v>
      </x:c>
      <x:c r="N69" s="2" t="str">
        <x:v>No</x:v>
      </x:c>
      <x:c r="O69" s="17"/>
      <x:c r="P69" s="15" t="str"/>
      <x:c r="Q69" s="16" t="d">
        <x:v>2026-03-09T12:00:00.000Z</x:v>
      </x:c>
      <x:c r="R69" s="15" t="str">
        <x:v>Summary Compensation Table</x:v>
      </x:c>
      <x:c r="S69" s="2" t="n">
        <x:v>89</x:v>
      </x:c>
      <x:c r="T69" s="15" t="str">
        <x:v>methanex_circular.pdf</x:v>
      </x:c>
      <x:c r="U69" s="15" t="str">
        <x:v>https://www.methanex.com/wp-content/uploads/2026-Information-Circular.pdf</x:v>
      </x:c>
      <x:c r="V69" s="15" t="str">
        <x:v>52a00ac52176b80ff10264bb3579ff939ece4db1c590d62a2843d5bf6729e6ce</x:v>
      </x:c>
      <x:c r="W69" s="15" t="str">
        <x:v>PDF pp.89-90, SCT notes (1)-(7). Grant-date awards retained; issuer-translated CAD values retained. Annual incentive earned in year, not payment year.</x:v>
      </x:c>
      <x:c r="X69" s="15" t="str">
        <x:v>Reported table value; no award revaluation or reconstruction.</x:v>
      </x:c>
      <x:c r="Y69" s="15" t="str"/>
      <x:c r="Z69" s="2"/>
      <x:c r="AA69" s="2" t="str">
        <x:v>interfor</x:v>
      </x:c>
      <x:c r="AB69" s="2" t="n">
        <x:v>54</x:v>
      </x:c>
      <x:c r="AC69" s="2" t="n">
        <x:v>26</x:v>
      </x:c>
      <x:c r="AD69" s="15" t="str">
        <x:v>Officer</x:v>
      </x:c>
    </x:row>
    <x:row r="70" ht="48" customHeight="1">
      <x:c r="A70" s="2" t="str">
        <x:v>ddb2611387caeab13254</x:v>
      </x:c>
      <x:c r="B70" s="2" t="str">
        <x:v>B2Gold Corp.</x:v>
      </x:c>
      <x:c r="C70" s="2" t="str">
        <x:v>Victor King</x:v>
      </x:c>
      <x:c r="D70" s="16" t="d">
        <x:v>2025-12-31T12:00:00.000Z</x:v>
      </x:c>
      <x:c r="E70" s="2" t="str">
        <x:v>total</x:v>
      </x:c>
      <x:c r="F70" s="15" t="str">
        <x:v>Total Compensation ($)</x:v>
      </x:c>
      <x:c r="G70" s="2" t="str">
        <x:v>2,166,191</x:v>
      </x:c>
      <x:c r="H70" s="12" t="n">
        <x:v>2166191</x:v>
      </x:c>
      <x:c r="I70" s="13" t="str">
        <x:v>USD</x:v>
      </x:c>
      <x:c r="J70" s="13" t="n">
        <x:v>1</x:v>
      </x:c>
      <x:c r="K70" s="14" t="n">
        <x:v>1.3978</x:v>
      </x:c>
      <x:c r="L70" s="10" t="n">
        <x:f>IF(AND(ISNUMBER(H70),ISNUMBER(J70),ISNUMBER(K70)),H70*J70*K70,"")</x:f>
        <x:v>3027901.7797999997</x:v>
      </x:c>
      <x:c r="M70" s="2" t="str">
        <x:v>reported</x:v>
      </x:c>
      <x:c r="N70" s="2" t="str">
        <x:v>Yes</x:v>
      </x:c>
      <x:c r="O70" s="17" t="n">
        <x:v>2025</x:v>
      </x:c>
      <x:c r="P70" s="15" t="str">
        <x:v>https://www.bankofcanada.ca/rates/exchange/annual-average-exchange-rates/</x:v>
      </x:c>
      <x:c r="Q70" s="16" t="d">
        <x:v>2026-04-13T12:00:00.000Z</x:v>
      </x:c>
      <x:c r="R70" s="15" t="str">
        <x:v>Summary Compensation Table</x:v>
      </x:c>
      <x:c r="S70" s="2" t="n">
        <x:v>77</x:v>
      </x:c>
      <x:c r="T70" s="15" t="str">
        <x:v>b2gold_circular.pdf</x:v>
      </x:c>
      <x:c r="U70" s="15" t="str">
        <x:v>https://s204.q4cdn.com/324791784/files/doc_downloads/2026/04/B2Gold-MIC-FYE-December-31-2025.pdf</x:v>
      </x:c>
      <x:c r="V70" s="15" t="str">
        <x:v>000bcea1d986585b3d261c785a369eb49859de5dd24837b9d487723021a0214c</x:v>
      </x:c>
      <x:c r="W70" s="15" t="str">
        <x:v>PDF p.77, SCT notes (1)-(3); currency convention PDF p.19. Annual cash bonus paid March 2026 for services in FY2025. Share awards copied as reported.</x:v>
      </x:c>
      <x:c r="X70" s="15" t="str">
        <x:v>Reported table value; no award revaluation or reconstruction.</x:v>
      </x:c>
      <x:c r="Y70" s="15" t="str"/>
      <x:c r="Z70" s="2"/>
      <x:c r="AA70" s="2" t="str">
        <x:v>interfor</x:v>
      </x:c>
      <x:c r="AB70" s="2" t="n">
        <x:v>54</x:v>
      </x:c>
      <x:c r="AC70" s="2" t="n">
        <x:v>27</x:v>
      </x:c>
      <x:c r="AD70" s="15" t="str">
        <x:v>Andrew L. 2025 492,453 554,662 - - - 35,793 92,812 1,175,720</x:v>
      </x:c>
    </x:row>
    <x:row r="71" ht="48" customHeight="1">
      <x:c r="A71" s="2" t="str">
        <x:v>ddb2611387caeab13254</x:v>
      </x:c>
      <x:c r="B71" s="2" t="str">
        <x:v>B2Gold Corp.</x:v>
      </x:c>
      <x:c r="C71" s="2" t="str">
        <x:v>Victor King</x:v>
      </x:c>
      <x:c r="D71" s="16" t="d">
        <x:v>2025-12-31T12:00:00.000Z</x:v>
      </x:c>
      <x:c r="E71" s="2" t="str">
        <x:v>salary</x:v>
      </x:c>
      <x:c r="F71" s="15" t="str">
        <x:v>Salary ($)</x:v>
      </x:c>
      <x:c r="G71" s="2" t="str">
        <x:v>438,000</x:v>
      </x:c>
      <x:c r="H71" s="12" t="n">
        <x:v>438000</x:v>
      </x:c>
      <x:c r="I71" s="13" t="str">
        <x:v>USD</x:v>
      </x:c>
      <x:c r="J71" s="13" t="n">
        <x:v>1</x:v>
      </x:c>
      <x:c r="K71" s="14" t="n">
        <x:v>1.3978</x:v>
      </x:c>
      <x:c r="L71" s="10" t="n">
        <x:f>IF(AND(ISNUMBER(H71),ISNUMBER(J71),ISNUMBER(K71)),H71*J71*K71,"")</x:f>
        <x:v>612236.4</x:v>
      </x:c>
      <x:c r="M71" s="2" t="str">
        <x:v>reported</x:v>
      </x:c>
      <x:c r="N71" s="2" t="str">
        <x:v>Yes</x:v>
      </x:c>
      <x:c r="O71" s="17" t="n">
        <x:v>2025</x:v>
      </x:c>
      <x:c r="P71" s="15" t="str">
        <x:v>https://www.bankofcanada.ca/rates/exchange/annual-average-exchange-rates/</x:v>
      </x:c>
      <x:c r="Q71" s="16" t="d">
        <x:v>2026-04-13T12:00:00.000Z</x:v>
      </x:c>
      <x:c r="R71" s="15" t="str">
        <x:v>Summary Compensation Table</x:v>
      </x:c>
      <x:c r="S71" s="2" t="n">
        <x:v>77</x:v>
      </x:c>
      <x:c r="T71" s="15" t="str">
        <x:v>b2gold_circular.pdf</x:v>
      </x:c>
      <x:c r="U71" s="15" t="str">
        <x:v>https://s204.q4cdn.com/324791784/files/doc_downloads/2026/04/B2Gold-MIC-FYE-December-31-2025.pdf</x:v>
      </x:c>
      <x:c r="V71" s="15" t="str">
        <x:v>000bcea1d986585b3d261c785a369eb49859de5dd24837b9d487723021a0214c</x:v>
      </x:c>
      <x:c r="W71" s="15" t="str">
        <x:v>PDF p.77, SCT notes (1)-(3); currency convention PDF p.19. Annual cash bonus paid March 2026 for services in FY2025. Share awards copied as reported.</x:v>
      </x:c>
      <x:c r="X71" s="15" t="str">
        <x:v>Reported table value; no award revaluation or reconstruction.</x:v>
      </x:c>
      <x:c r="Y71" s="15" t="str"/>
      <x:c r="Z71" s="2"/>
      <x:c r="AA71" s="2" t="str">
        <x:v>interfor</x:v>
      </x:c>
      <x:c r="AB71" s="2" t="n">
        <x:v>54</x:v>
      </x:c>
      <x:c r="AC71" s="2" t="n">
        <x:v>28</x:v>
      </x:c>
      <x:c r="AD71" s="15" t="str">
        <x:v>Horahan 2024 468,000 570,788 - - - 85,911 145,832 1,270,531</x:v>
      </x:c>
    </x:row>
    <x:row r="72" ht="48" customHeight="1">
      <x:c r="A72" s="2" t="str">
        <x:v>ddb2611387caeab13254</x:v>
      </x:c>
      <x:c r="B72" s="2" t="str">
        <x:v>B2Gold Corp.</x:v>
      </x:c>
      <x:c r="C72" s="2" t="str">
        <x:v>Victor King</x:v>
      </x:c>
      <x:c r="D72" s="16" t="d">
        <x:v>2025-12-31T12:00:00.000Z</x:v>
      </x:c>
      <x:c r="E72" s="2" t="str">
        <x:v>share_awards</x:v>
      </x:c>
      <x:c r="F72" s="15" t="str">
        <x:v>Share-Based Awards ($)(1)</x:v>
      </x:c>
      <x:c r="G72" s="2" t="str">
        <x:v>1,328,418</x:v>
      </x:c>
      <x:c r="H72" s="12" t="n">
        <x:v>1328418</x:v>
      </x:c>
      <x:c r="I72" s="13" t="str">
        <x:v>USD</x:v>
      </x:c>
      <x:c r="J72" s="13" t="n">
        <x:v>1</x:v>
      </x:c>
      <x:c r="K72" s="14" t="n">
        <x:v>1.3978</x:v>
      </x:c>
      <x:c r="L72" s="10" t="n">
        <x:f>IF(AND(ISNUMBER(H72),ISNUMBER(J72),ISNUMBER(K72)),H72*J72*K72,"")</x:f>
        <x:v>1856862.6804</x:v>
      </x:c>
      <x:c r="M72" s="2" t="str">
        <x:v>reported</x:v>
      </x:c>
      <x:c r="N72" s="2" t="str">
        <x:v>Yes</x:v>
      </x:c>
      <x:c r="O72" s="17" t="n">
        <x:v>2025</x:v>
      </x:c>
      <x:c r="P72" s="15" t="str">
        <x:v>https://www.bankofcanada.ca/rates/exchange/annual-average-exchange-rates/</x:v>
      </x:c>
      <x:c r="Q72" s="16" t="d">
        <x:v>2026-04-13T12:00:00.000Z</x:v>
      </x:c>
      <x:c r="R72" s="15" t="str">
        <x:v>Summary Compensation Table</x:v>
      </x:c>
      <x:c r="S72" s="2" t="n">
        <x:v>77</x:v>
      </x:c>
      <x:c r="T72" s="15" t="str">
        <x:v>b2gold_circular.pdf</x:v>
      </x:c>
      <x:c r="U72" s="15" t="str">
        <x:v>https://s204.q4cdn.com/324791784/files/doc_downloads/2026/04/B2Gold-MIC-FYE-December-31-2025.pdf</x:v>
      </x:c>
      <x:c r="V72" s="15" t="str">
        <x:v>000bcea1d986585b3d261c785a369eb49859de5dd24837b9d487723021a0214c</x:v>
      </x:c>
      <x:c r="W72" s="15" t="str">
        <x:v>PDF p.77, SCT notes (1)-(3); currency convention PDF p.19. Annual cash bonus paid March 2026 for services in FY2025. Share awards copied as reported.</x:v>
      </x:c>
      <x:c r="X72" s="15" t="str">
        <x:v>Reported table value; no award revaluation or reconstruction.</x:v>
      </x:c>
      <x:c r="Y72" s="15" t="str"/>
      <x:c r="Z72" s="2"/>
      <x:c r="AA72" s="2" t="str">
        <x:v>interfor</x:v>
      </x:c>
      <x:c r="AB72" s="2" t="n">
        <x:v>54</x:v>
      </x:c>
      <x:c r="AC72" s="2" t="n">
        <x:v>29</x:v>
      </x:c>
      <x:c r="AD72" s="15" t="str">
        <x:v>Executive Vice 2023 457,500 599,024 - 374,400 - 153,840 101,501 1,686,265</x:v>
      </x:c>
    </x:row>
    <x:row r="73" ht="48" customHeight="1">
      <x:c r="A73" s="2" t="str">
        <x:v>ddb2611387caeab13254</x:v>
      </x:c>
      <x:c r="B73" s="2" t="str">
        <x:v>B2Gold Corp.</x:v>
      </x:c>
      <x:c r="C73" s="2" t="str">
        <x:v>Victor King</x:v>
      </x:c>
      <x:c r="D73" s="16" t="d">
        <x:v>2025-12-31T12:00:00.000Z</x:v>
      </x:c>
      <x:c r="E73" s="2" t="str">
        <x:v>option_awards</x:v>
      </x:c>
      <x:c r="F73" s="15" t="str">
        <x:v>Option-Based Awards ($)</x:v>
      </x:c>
      <x:c r="G73" s="2" t="str">
        <x:v>-</x:v>
      </x:c>
      <x:c r="H73" s="12"/>
      <x:c r="I73" s="13" t="str">
        <x:v>USD</x:v>
      </x:c>
      <x:c r="J73" s="13" t="n">
        <x:v>1</x:v>
      </x:c>
      <x:c r="K73" s="14"/>
      <x:c r="L73" s="10" t="str">
        <x:f>IF(AND(ISNUMBER(H73),ISNUMBER(J73),ISNUMBER(K73)),H73*J73*K73,"")</x:f>
      </x:c>
      <x:c r="M73" s="2" t="str">
        <x:v>uncertain</x:v>
      </x:c>
      <x:c r="N73" s="2" t="str">
        <x:v>No</x:v>
      </x:c>
      <x:c r="O73" s="17"/>
      <x:c r="P73" s="15" t="str"/>
      <x:c r="Q73" s="16" t="d">
        <x:v>2026-04-13T12:00:00.000Z</x:v>
      </x:c>
      <x:c r="R73" s="15" t="str">
        <x:v>Summary Compensation Table</x:v>
      </x:c>
      <x:c r="S73" s="2" t="n">
        <x:v>77</x:v>
      </x:c>
      <x:c r="T73" s="15" t="str">
        <x:v>b2gold_circular.pdf</x:v>
      </x:c>
      <x:c r="U73" s="15" t="str">
        <x:v>https://s204.q4cdn.com/324791784/files/doc_downloads/2026/04/B2Gold-MIC-FYE-December-31-2025.pdf</x:v>
      </x:c>
      <x:c r="V73" s="15" t="str">
        <x:v>000bcea1d986585b3d261c785a369eb49859de5dd24837b9d487723021a0214c</x:v>
      </x:c>
      <x:c r="W73" s="15" t="str">
        <x:v>PDF p.77, SCT notes (1)-(3); currency convention PDF p.19. Annual cash bonus paid March 2026 for services in FY2025. Share awards copied as reported.</x:v>
      </x:c>
      <x:c r="X73" s="15" t="str">
        <x:v>Reported table value; no award revaluation or reconstruction.</x:v>
      </x:c>
      <x:c r="Y73" s="15" t="str">
        <x:v>Source dash has no verified numeric meaning</x:v>
      </x:c>
      <x:c r="Z73" s="2"/>
      <x:c r="AA73" s="2" t="str">
        <x:v>interfor</x:v>
      </x:c>
      <x:c r="AB73" s="2" t="n">
        <x:v>54</x:v>
      </x:c>
      <x:c r="AC73" s="2" t="n">
        <x:v>30</x:v>
      </x:c>
      <x:c r="AD73" s="15" t="str">
        <x:v>President &amp;</x:v>
      </x:c>
    </x:row>
    <x:row r="74" ht="48" customHeight="1">
      <x:c r="A74" s="2" t="str">
        <x:v>ddb2611387caeab13254</x:v>
      </x:c>
      <x:c r="B74" s="2" t="str">
        <x:v>B2Gold Corp.</x:v>
      </x:c>
      <x:c r="C74" s="2" t="str">
        <x:v>Victor King</x:v>
      </x:c>
      <x:c r="D74" s="16" t="d">
        <x:v>2025-12-31T12:00:00.000Z</x:v>
      </x:c>
      <x:c r="E74" s="2" t="str">
        <x:v>annual_incentive</x:v>
      </x:c>
      <x:c r="F74" s="15" t="str">
        <x:v>Annual Incentive Program ($)(2)</x:v>
      </x:c>
      <x:c r="G74" s="2" t="str">
        <x:v>349,853</x:v>
      </x:c>
      <x:c r="H74" s="12" t="n">
        <x:v>349853</x:v>
      </x:c>
      <x:c r="I74" s="13" t="str">
        <x:v>USD</x:v>
      </x:c>
      <x:c r="J74" s="13" t="n">
        <x:v>1</x:v>
      </x:c>
      <x:c r="K74" s="14" t="n">
        <x:v>1.3978</x:v>
      </x:c>
      <x:c r="L74" s="10" t="n">
        <x:f>IF(AND(ISNUMBER(H74),ISNUMBER(J74),ISNUMBER(K74)),H74*J74*K74,"")</x:f>
        <x:v>489024.52339999995</x:v>
      </x:c>
      <x:c r="M74" s="2" t="str">
        <x:v>reported</x:v>
      </x:c>
      <x:c r="N74" s="2" t="str">
        <x:v>Yes</x:v>
      </x:c>
      <x:c r="O74" s="17" t="n">
        <x:v>2025</x:v>
      </x:c>
      <x:c r="P74" s="15" t="str">
        <x:v>https://www.bankofcanada.ca/rates/exchange/annual-average-exchange-rates/</x:v>
      </x:c>
      <x:c r="Q74" s="16" t="d">
        <x:v>2026-04-13T12:00:00.000Z</x:v>
      </x:c>
      <x:c r="R74" s="15" t="str">
        <x:v>Summary Compensation Table</x:v>
      </x:c>
      <x:c r="S74" s="2" t="n">
        <x:v>77</x:v>
      </x:c>
      <x:c r="T74" s="15" t="str">
        <x:v>b2gold_circular.pdf</x:v>
      </x:c>
      <x:c r="U74" s="15" t="str">
        <x:v>https://s204.q4cdn.com/324791784/files/doc_downloads/2026/04/B2Gold-MIC-FYE-December-31-2025.pdf</x:v>
      </x:c>
      <x:c r="V74" s="15" t="str">
        <x:v>000bcea1d986585b3d261c785a369eb49859de5dd24837b9d487723021a0214c</x:v>
      </x:c>
      <x:c r="W74" s="15" t="str">
        <x:v>PDF p.77, SCT notes (1)-(3); currency convention PDF p.19. Annual cash bonus paid March 2026 for services in FY2025. Share awards copied as reported.</x:v>
      </x:c>
      <x:c r="X74" s="15" t="str">
        <x:v>Annual short-term incentive heading; direct mapping, no long-term amounts combined.</x:v>
      </x:c>
      <x:c r="Y74" s="15" t="str"/>
      <x:c r="Z74" s="2"/>
      <x:c r="AA74" s="2" t="str">
        <x:v>interfor</x:v>
      </x:c>
      <x:c r="AB74" s="2" t="n">
        <x:v>54</x:v>
      </x:c>
      <x:c r="AC74" s="2" t="n">
        <x:v>31</x:v>
      </x:c>
      <x:c r="AD74" s="15" t="str">
        <x:v>Chief Operating</x:v>
      </x:c>
    </x:row>
    <x:row r="75" ht="48" customHeight="1">
      <x:c r="A75" s="2" t="str">
        <x:v>ddb2611387caeab13254</x:v>
      </x:c>
      <x:c r="B75" s="2" t="str">
        <x:v>B2Gold Corp.</x:v>
      </x:c>
      <x:c r="C75" s="2" t="str">
        <x:v>Victor King</x:v>
      </x:c>
      <x:c r="D75" s="16" t="d">
        <x:v>2025-12-31T12:00:00.000Z</x:v>
      </x:c>
      <x:c r="E75" s="2" t="str">
        <x:v>long_term_incentive</x:v>
      </x:c>
      <x:c r="F75" s="15" t="str">
        <x:v>Long-Term Incentive Plans ($)</x:v>
      </x:c>
      <x:c r="G75" s="2" t="str">
        <x:v>-</x:v>
      </x:c>
      <x:c r="H75" s="12"/>
      <x:c r="I75" s="13" t="str">
        <x:v>USD</x:v>
      </x:c>
      <x:c r="J75" s="13" t="n">
        <x:v>1</x:v>
      </x:c>
      <x:c r="K75" s="14"/>
      <x:c r="L75" s="10" t="str">
        <x:f>IF(AND(ISNUMBER(H75),ISNUMBER(J75),ISNUMBER(K75)),H75*J75*K75,"")</x:f>
      </x:c>
      <x:c r="M75" s="2" t="str">
        <x:v>uncertain</x:v>
      </x:c>
      <x:c r="N75" s="2" t="str">
        <x:v>No</x:v>
      </x:c>
      <x:c r="O75" s="17"/>
      <x:c r="P75" s="15" t="str"/>
      <x:c r="Q75" s="16" t="d">
        <x:v>2026-04-13T12:00:00.000Z</x:v>
      </x:c>
      <x:c r="R75" s="15" t="str">
        <x:v>Summary Compensation Table</x:v>
      </x:c>
      <x:c r="S75" s="2" t="n">
        <x:v>77</x:v>
      </x:c>
      <x:c r="T75" s="15" t="str">
        <x:v>b2gold_circular.pdf</x:v>
      </x:c>
      <x:c r="U75" s="15" t="str">
        <x:v>https://s204.q4cdn.com/324791784/files/doc_downloads/2026/04/B2Gold-MIC-FYE-December-31-2025.pdf</x:v>
      </x:c>
      <x:c r="V75" s="15" t="str">
        <x:v>000bcea1d986585b3d261c785a369eb49859de5dd24837b9d487723021a0214c</x:v>
      </x:c>
      <x:c r="W75" s="15" t="str">
        <x:v>PDF p.77, SCT notes (1)-(3); currency convention PDF p.19. Annual cash bonus paid March 2026 for services in FY2025. Share awards copied as reported.</x:v>
      </x:c>
      <x:c r="X75" s="15" t="str">
        <x:v>Reported table value; no award revaluation or reconstruction.</x:v>
      </x:c>
      <x:c r="Y75" s="15" t="str">
        <x:v>Source dash has no verified numeric meaning</x:v>
      </x:c>
      <x:c r="Z75" s="2"/>
      <x:c r="AA75" s="2" t="str">
        <x:v>interfor</x:v>
      </x:c>
      <x:c r="AB75" s="2" t="n">
        <x:v>54</x:v>
      </x:c>
      <x:c r="AC75" s="2" t="n">
        <x:v>32</x:v>
      </x:c>
      <x:c r="AD75" s="15" t="str">
        <x:v>Officer</x:v>
      </x:c>
    </x:row>
    <x:row r="76" ht="48" customHeight="1">
      <x:c r="A76" s="2" t="str">
        <x:v>ddb2611387caeab13254</x:v>
      </x:c>
      <x:c r="B76" s="2" t="str">
        <x:v>B2Gold Corp.</x:v>
      </x:c>
      <x:c r="C76" s="2" t="str">
        <x:v>Victor King</x:v>
      </x:c>
      <x:c r="D76" s="16" t="d">
        <x:v>2025-12-31T12:00:00.000Z</x:v>
      </x:c>
      <x:c r="E76" s="2" t="str">
        <x:v>pension</x:v>
      </x:c>
      <x:c r="F76" s="15"/>
      <x:c r="G76" s="2"/>
      <x:c r="H76" s="12"/>
      <x:c r="I76" s="13" t="str">
        <x:v>USD</x:v>
      </x:c>
      <x:c r="J76" s="13" t="n">
        <x:v>1</x:v>
      </x:c>
      <x:c r="K76" s="14"/>
      <x:c r="L76" s="10" t="str">
        <x:f>IF(AND(ISNUMBER(H76),ISNUMBER(J76),ISNUMBER(K76)),H76*J76*K76,"")</x:f>
      </x:c>
      <x:c r="M76" s="2" t="str">
        <x:v>not_disclosed</x:v>
      </x:c>
      <x:c r="N76" s="2" t="str">
        <x:v>No</x:v>
      </x:c>
      <x:c r="O76" s="17"/>
      <x:c r="P76" s="15" t="str"/>
      <x:c r="Q76" s="16" t="d">
        <x:v>2026-04-13T12:00:00.000Z</x:v>
      </x:c>
      <x:c r="R76" s="15" t="str">
        <x:v>Summary Compensation Table</x:v>
      </x:c>
      <x:c r="S76" s="2" t="n">
        <x:v>77</x:v>
      </x:c>
      <x:c r="T76" s="15" t="str">
        <x:v>b2gold_circular.pdf</x:v>
      </x:c>
      <x:c r="U76" s="15" t="str">
        <x:v>https://s204.q4cdn.com/324791784/files/doc_downloads/2026/04/B2Gold-MIC-FYE-December-31-2025.pdf</x:v>
      </x:c>
      <x:c r="V76" s="15" t="str">
        <x:v>000bcea1d986585b3d261c785a369eb49859de5dd24837b9d487723021a0214c</x:v>
      </x:c>
      <x:c r="W76" s="15" t="str">
        <x:v>PDF p.77, SCT notes (1)-(3); currency convention PDF p.19. Annual cash bonus paid March 2026 for services in FY2025. Share awards copied as reported.</x:v>
      </x:c>
      <x:c r="X76" s="15" t="str">
        <x:v>No amount inferred from other fields.</x:v>
      </x:c>
      <x:c r="Y76" s="15" t="str">
        <x:v>No separate column in the Summary Compensation Table</x:v>
      </x:c>
      <x:c r="Z76" s="2"/>
      <x:c r="AA76" s="2" t="str">
        <x:v>interfor</x:v>
      </x:c>
      <x:c r="AB76" s="2" t="n">
        <x:v>54</x:v>
      </x:c>
      <x:c r="AC76" s="2" t="n">
        <x:v>33</x:v>
      </x:c>
      <x:c r="AD76" s="15" t="str">
        <x:v>Timothy P. 2025 602,922 394,428 - - - 35,486 196,335 1,229,172</x:v>
      </x:c>
    </x:row>
    <x:row r="77" ht="48" customHeight="1">
      <x:c r="A77" s="2" t="str">
        <x:v>ddb2611387caeab13254</x:v>
      </x:c>
      <x:c r="B77" s="2" t="str">
        <x:v>B2Gold Corp.</x:v>
      </x:c>
      <x:c r="C77" s="2" t="str">
        <x:v>Victor King</x:v>
      </x:c>
      <x:c r="D77" s="16" t="d">
        <x:v>2025-12-31T12:00:00.000Z</x:v>
      </x:c>
      <x:c r="E77" s="2" t="str">
        <x:v>other</x:v>
      </x:c>
      <x:c r="F77" s="15" t="str">
        <x:v>All Other Compensation ($)(3)</x:v>
      </x:c>
      <x:c r="G77" s="2" t="str">
        <x:v>49,920</x:v>
      </x:c>
      <x:c r="H77" s="12" t="n">
        <x:v>49920</x:v>
      </x:c>
      <x:c r="I77" s="13" t="str">
        <x:v>USD</x:v>
      </x:c>
      <x:c r="J77" s="13" t="n">
        <x:v>1</x:v>
      </x:c>
      <x:c r="K77" s="14" t="n">
        <x:v>1.3978</x:v>
      </x:c>
      <x:c r="L77" s="10" t="n">
        <x:f>IF(AND(ISNUMBER(H77),ISNUMBER(J77),ISNUMBER(K77)),H77*J77*K77,"")</x:f>
        <x:v>69778.17599999999</x:v>
      </x:c>
      <x:c r="M77" s="2" t="str">
        <x:v>reported</x:v>
      </x:c>
      <x:c r="N77" s="2" t="str">
        <x:v>Yes</x:v>
      </x:c>
      <x:c r="O77" s="17" t="n">
        <x:v>2025</x:v>
      </x:c>
      <x:c r="P77" s="15" t="str">
        <x:v>https://www.bankofcanada.ca/rates/exchange/annual-average-exchange-rates/</x:v>
      </x:c>
      <x:c r="Q77" s="16" t="d">
        <x:v>2026-04-13T12:00:00.000Z</x:v>
      </x:c>
      <x:c r="R77" s="15" t="str">
        <x:v>Summary Compensation Table</x:v>
      </x:c>
      <x:c r="S77" s="2" t="n">
        <x:v>77</x:v>
      </x:c>
      <x:c r="T77" s="15" t="str">
        <x:v>b2gold_circular.pdf</x:v>
      </x:c>
      <x:c r="U77" s="15" t="str">
        <x:v>https://s204.q4cdn.com/324791784/files/doc_downloads/2026/04/B2Gold-MIC-FYE-December-31-2025.pdf</x:v>
      </x:c>
      <x:c r="V77" s="15" t="str">
        <x:v>000bcea1d986585b3d261c785a369eb49859de5dd24837b9d487723021a0214c</x:v>
      </x:c>
      <x:c r="W77" s="15" t="str">
        <x:v>PDF p.77, SCT notes (1)-(3); currency convention PDF p.19. Annual cash bonus paid March 2026 for services in FY2025. Share awards copied as reported.</x:v>
      </x:c>
      <x:c r="X77" s="15" t="str">
        <x:v>Reported table value; no award revaluation or reconstruction.</x:v>
      </x:c>
      <x:c r="Y77" s="15" t="str"/>
      <x:c r="Z77" s="2"/>
      <x:c r="AA77" s="2" t="str">
        <x:v>interfor</x:v>
      </x:c>
      <x:c r="AB77" s="2" t="n">
        <x:v>54</x:v>
      </x:c>
      <x:c r="AC77" s="2" t="n">
        <x:v>34</x:v>
      </x:c>
      <x:c r="AD77" s="15" t="str">
        <x:v>Hartnett 2024 569,837 405,879 - - - 92,352 189,503 1,257,571</x:v>
      </x:c>
    </x:row>
    <x:row r="78" ht="48" customHeight="1">
      <x:c r="A78" s="2" t="str">
        <x:v>1ef10bdd8e0c0726ac26</x:v>
      </x:c>
      <x:c r="B78" s="2" t="str">
        <x:v>Methanex Corporation</x:v>
      </x:c>
      <x:c r="C78" s="2" t="str">
        <x:v>Karine Delbarre</x:v>
      </x:c>
      <x:c r="D78" s="16" t="d">
        <x:v>2025-12-31T12:00:00.000Z</x:v>
      </x:c>
      <x:c r="E78" s="2" t="str">
        <x:v>total</x:v>
      </x:c>
      <x:c r="F78" s="15" t="str">
        <x:v>Total Compensation</x:v>
      </x:c>
      <x:c r="G78" s="2" t="str">
        <x:v>2,794,340</x:v>
      </x:c>
      <x:c r="H78" s="12" t="n">
        <x:v>2794340</x:v>
      </x:c>
      <x:c r="I78" s="13" t="str">
        <x:v>CAD</x:v>
      </x:c>
      <x:c r="J78" s="13" t="n">
        <x:v>1</x:v>
      </x:c>
      <x:c r="K78" s="14" t="n">
        <x:v>1</x:v>
      </x:c>
      <x:c r="L78" s="10" t="n">
        <x:f>IF(AND(ISNUMBER(H78),ISNUMBER(J78),ISNUMBER(K78)),H78*J78*K78,"")</x:f>
        <x:v>2794340</x:v>
      </x:c>
      <x:c r="M78" s="2" t="str">
        <x:v>reported</x:v>
      </x:c>
      <x:c r="N78" s="2" t="str">
        <x:v>No</x:v>
      </x:c>
      <x:c r="O78" s="17"/>
      <x:c r="P78" s="15" t="str"/>
      <x:c r="Q78" s="16" t="d">
        <x:v>2026-03-09T12:00:00.000Z</x:v>
      </x:c>
      <x:c r="R78" s="15" t="str">
        <x:v>Summary Compensation Table</x:v>
      </x:c>
      <x:c r="S78" s="2" t="n">
        <x:v>89</x:v>
      </x:c>
      <x:c r="T78" s="15" t="str">
        <x:v>methanex_circular.pdf</x:v>
      </x:c>
      <x:c r="U78" s="15" t="str">
        <x:v>https://www.methanex.com/wp-content/uploads/2026-Information-Circular.pdf</x:v>
      </x:c>
      <x:c r="V78" s="15" t="str">
        <x:v>52a00ac52176b80ff10264bb3579ff939ece4db1c590d62a2843d5bf6729e6ce</x:v>
      </x:c>
      <x:c r="W78" s="15" t="str">
        <x:v>PDF pp.89-90, SCT notes (1)-(7). Grant-date awards retained; issuer-translated CAD values retained. Annual incentive earned in year, not payment year.</x:v>
      </x:c>
      <x:c r="X78" s="15" t="str">
        <x:v>Reported table value; no award revaluation or reconstruction.</x:v>
      </x:c>
      <x:c r="Y78" s="15" t="str"/>
      <x:c r="Z78" s="2"/>
      <x:c r="AA78" s="2" t="str">
        <x:v>interfor</x:v>
      </x:c>
      <x:c r="AB78" s="2" t="n">
        <x:v>54</x:v>
      </x:c>
      <x:c r="AC78" s="2" t="n">
        <x:v>35</x:v>
      </x:c>
      <x:c r="AD78" s="15" t="str">
        <x:v>Senior Vice 2023 548,878 425,989 - 421,106 - 88,251 148,756 1,632,980</x:v>
      </x:c>
    </x:row>
    <x:row r="79" ht="48" customHeight="1">
      <x:c r="A79" s="2" t="str">
        <x:v>1ef10bdd8e0c0726ac26</x:v>
      </x:c>
      <x:c r="B79" s="2" t="str">
        <x:v>Methanex Corporation</x:v>
      </x:c>
      <x:c r="C79" s="2" t="str">
        <x:v>Karine Delbarre</x:v>
      </x:c>
      <x:c r="D79" s="16" t="d">
        <x:v>2025-12-31T12:00:00.000Z</x:v>
      </x:c>
      <x:c r="E79" s="2" t="str">
        <x:v>salary</x:v>
      </x:c>
      <x:c r="F79" s="15" t="str">
        <x:v>Base Salary(2)</x:v>
      </x:c>
      <x:c r="G79" s="2" t="str">
        <x:v>572,595</x:v>
      </x:c>
      <x:c r="H79" s="12" t="n">
        <x:v>572595</x:v>
      </x:c>
      <x:c r="I79" s="13" t="str">
        <x:v>CAD</x:v>
      </x:c>
      <x:c r="J79" s="13" t="n">
        <x:v>1</x:v>
      </x:c>
      <x:c r="K79" s="14" t="n">
        <x:v>1</x:v>
      </x:c>
      <x:c r="L79" s="10" t="n">
        <x:f>IF(AND(ISNUMBER(H79),ISNUMBER(J79),ISNUMBER(K79)),H79*J79*K79,"")</x:f>
        <x:v>572595</x:v>
      </x:c>
      <x:c r="M79" s="2" t="str">
        <x:v>reported</x:v>
      </x:c>
      <x:c r="N79" s="2" t="str">
        <x:v>No</x:v>
      </x:c>
      <x:c r="O79" s="17"/>
      <x:c r="P79" s="15" t="str"/>
      <x:c r="Q79" s="16" t="d">
        <x:v>2026-03-09T12:00:00.000Z</x:v>
      </x:c>
      <x:c r="R79" s="15" t="str">
        <x:v>Summary Compensation Table</x:v>
      </x:c>
      <x:c r="S79" s="2" t="n">
        <x:v>89</x:v>
      </x:c>
      <x:c r="T79" s="15" t="str">
        <x:v>methanex_circular.pdf</x:v>
      </x:c>
      <x:c r="U79" s="15" t="str">
        <x:v>https://www.methanex.com/wp-content/uploads/2026-Information-Circular.pdf</x:v>
      </x:c>
      <x:c r="V79" s="15" t="str">
        <x:v>52a00ac52176b80ff10264bb3579ff939ece4db1c590d62a2843d5bf6729e6ce</x:v>
      </x:c>
      <x:c r="W79" s="15" t="str">
        <x:v>PDF pp.89-90, SCT notes (1)-(7). Grant-date awards retained; issuer-translated CAD values retained. Annual incentive earned in year, not payment year.</x:v>
      </x:c>
      <x:c r="X79" s="15" t="str">
        <x:v>Reported table value; no award revaluation or reconstruction.</x:v>
      </x:c>
      <x:c r="Y79" s="15" t="str"/>
      <x:c r="Z79" s="2"/>
      <x:c r="AA79" s="2" t="str">
        <x:v>interfor</x:v>
      </x:c>
      <x:c r="AB79" s="2" t="n">
        <x:v>54</x:v>
      </x:c>
      <x:c r="AC79" s="2" t="n">
        <x:v>36</x:v>
      </x:c>
      <x:c r="AD79" s="15" t="str">
        <x:v>President,</x:v>
      </x:c>
    </x:row>
    <x:row r="80" ht="48" customHeight="1">
      <x:c r="A80" s="2" t="str">
        <x:v>1ef10bdd8e0c0726ac26</x:v>
      </x:c>
      <x:c r="B80" s="2" t="str">
        <x:v>Methanex Corporation</x:v>
      </x:c>
      <x:c r="C80" s="2" t="str">
        <x:v>Karine Delbarre</x:v>
      </x:c>
      <x:c r="D80" s="16" t="d">
        <x:v>2025-12-31T12:00:00.000Z</x:v>
      </x:c>
      <x:c r="E80" s="2" t="str">
        <x:v>share_awards</x:v>
      </x:c>
      <x:c r="F80" s="15" t="str">
        <x:v>Share-Based Awards(3)</x:v>
      </x:c>
      <x:c r="G80" s="2" t="str">
        <x:v>540,449</x:v>
      </x:c>
      <x:c r="H80" s="12" t="n">
        <x:v>540449</x:v>
      </x:c>
      <x:c r="I80" s="13" t="str">
        <x:v>CAD</x:v>
      </x:c>
      <x:c r="J80" s="13" t="n">
        <x:v>1</x:v>
      </x:c>
      <x:c r="K80" s="14" t="n">
        <x:v>1</x:v>
      </x:c>
      <x:c r="L80" s="10" t="n">
        <x:f>IF(AND(ISNUMBER(H80),ISNUMBER(J80),ISNUMBER(K80)),H80*J80*K80,"")</x:f>
        <x:v>540449</x:v>
      </x:c>
      <x:c r="M80" s="2" t="str">
        <x:v>reported</x:v>
      </x:c>
      <x:c r="N80" s="2" t="str">
        <x:v>No</x:v>
      </x:c>
      <x:c r="O80" s="17"/>
      <x:c r="P80" s="15" t="str"/>
      <x:c r="Q80" s="16" t="d">
        <x:v>2026-03-09T12:00:00.000Z</x:v>
      </x:c>
      <x:c r="R80" s="15" t="str">
        <x:v>Summary Compensation Table</x:v>
      </x:c>
      <x:c r="S80" s="2" t="n">
        <x:v>89</x:v>
      </x:c>
      <x:c r="T80" s="15" t="str">
        <x:v>methanex_circular.pdf</x:v>
      </x:c>
      <x:c r="U80" s="15" t="str">
        <x:v>https://www.methanex.com/wp-content/uploads/2026-Information-Circular.pdf</x:v>
      </x:c>
      <x:c r="V80" s="15" t="str">
        <x:v>52a00ac52176b80ff10264bb3579ff939ece4db1c590d62a2843d5bf6729e6ce</x:v>
      </x:c>
      <x:c r="W80" s="15" t="str">
        <x:v>PDF pp.89-90, SCT notes (1)-(7). Grant-date awards retained; issuer-translated CAD values retained. Annual incentive earned in year, not payment year.</x:v>
      </x:c>
      <x:c r="X80" s="15" t="str">
        <x:v>Reported table value; no award revaluation or reconstruction.</x:v>
      </x:c>
      <x:c r="Y80" s="15" t="str"/>
      <x:c r="Z80" s="2"/>
      <x:c r="AA80" s="2" t="str">
        <x:v>interfor</x:v>
      </x:c>
      <x:c r="AB80" s="2" t="n">
        <x:v>54</x:v>
      </x:c>
      <x:c r="AC80" s="2" t="n">
        <x:v>37</x:v>
      </x:c>
      <x:c r="AD80" s="15" t="str">
        <x:v>Human</x:v>
      </x:c>
    </x:row>
    <x:row r="81" ht="48" customHeight="1">
      <x:c r="A81" s="2" t="str">
        <x:v>1ef10bdd8e0c0726ac26</x:v>
      </x:c>
      <x:c r="B81" s="2" t="str">
        <x:v>Methanex Corporation</x:v>
      </x:c>
      <x:c r="C81" s="2" t="str">
        <x:v>Karine Delbarre</x:v>
      </x:c>
      <x:c r="D81" s="16" t="d">
        <x:v>2025-12-31T12:00:00.000Z</x:v>
      </x:c>
      <x:c r="E81" s="2" t="str">
        <x:v>option_awards</x:v>
      </x:c>
      <x:c r="F81" s="15" t="str">
        <x:v>Option-Based Awards(4)</x:v>
      </x:c>
      <x:c r="G81" s="2" t="str">
        <x:v>538,718</x:v>
      </x:c>
      <x:c r="H81" s="12" t="n">
        <x:v>538718</x:v>
      </x:c>
      <x:c r="I81" s="13" t="str">
        <x:v>CAD</x:v>
      </x:c>
      <x:c r="J81" s="13" t="n">
        <x:v>1</x:v>
      </x:c>
      <x:c r="K81" s="14" t="n">
        <x:v>1</x:v>
      </x:c>
      <x:c r="L81" s="10" t="n">
        <x:f>IF(AND(ISNUMBER(H81),ISNUMBER(J81),ISNUMBER(K81)),H81*J81*K81,"")</x:f>
        <x:v>538718</x:v>
      </x:c>
      <x:c r="M81" s="2" t="str">
        <x:v>reported</x:v>
      </x:c>
      <x:c r="N81" s="2" t="str">
        <x:v>No</x:v>
      </x:c>
      <x:c r="O81" s="17"/>
      <x:c r="P81" s="15" t="str"/>
      <x:c r="Q81" s="16" t="d">
        <x:v>2026-03-09T12:00:00.000Z</x:v>
      </x:c>
      <x:c r="R81" s="15" t="str">
        <x:v>Summary Compensation Table</x:v>
      </x:c>
      <x:c r="S81" s="2" t="n">
        <x:v>89</x:v>
      </x:c>
      <x:c r="T81" s="15" t="str">
        <x:v>methanex_circular.pdf</x:v>
      </x:c>
      <x:c r="U81" s="15" t="str">
        <x:v>https://www.methanex.com/wp-content/uploads/2026-Information-Circular.pdf</x:v>
      </x:c>
      <x:c r="V81" s="15" t="str">
        <x:v>52a00ac52176b80ff10264bb3579ff939ece4db1c590d62a2843d5bf6729e6ce</x:v>
      </x:c>
      <x:c r="W81" s="15" t="str">
        <x:v>PDF pp.89-90, SCT notes (1)-(7). Grant-date awards retained; issuer-translated CAD values retained. Annual incentive earned in year, not payment year.</x:v>
      </x:c>
      <x:c r="X81" s="15" t="str">
        <x:v>Reported table value; no award revaluation or reconstruction.</x:v>
      </x:c>
      <x:c r="Y81" s="15" t="str"/>
      <x:c r="Z81" s="2"/>
      <x:c r="AA81" s="2" t="str">
        <x:v>interfor</x:v>
      </x:c>
      <x:c r="AB81" s="2" t="n">
        <x:v>54</x:v>
      </x:c>
      <x:c r="AC81" s="2" t="n">
        <x:v>38</x:v>
      </x:c>
      <x:c r="AD81" s="15" t="str">
        <x:v>Resources(7)</x:v>
      </x:c>
    </x:row>
    <x:row r="82" ht="48" customHeight="1">
      <x:c r="A82" s="2" t="str">
        <x:v>1ef10bdd8e0c0726ac26</x:v>
      </x:c>
      <x:c r="B82" s="2" t="str">
        <x:v>Methanex Corporation</x:v>
      </x:c>
      <x:c r="C82" s="2" t="str">
        <x:v>Karine Delbarre</x:v>
      </x:c>
      <x:c r="D82" s="16" t="d">
        <x:v>2025-12-31T12:00:00.000Z</x:v>
      </x:c>
      <x:c r="E82" s="2" t="str">
        <x:v>annual_incentive</x:v>
      </x:c>
      <x:c r="F82" s="15" t="str">
        <x:v>Non-Equity Incentive Plan Compensation - Annual Incentive Plans(5)</x:v>
      </x:c>
      <x:c r="G82" s="2" t="str">
        <x:v>465,000</x:v>
      </x:c>
      <x:c r="H82" s="12" t="n">
        <x:v>465000</x:v>
      </x:c>
      <x:c r="I82" s="13" t="str">
        <x:v>CAD</x:v>
      </x:c>
      <x:c r="J82" s="13" t="n">
        <x:v>1</x:v>
      </x:c>
      <x:c r="K82" s="14" t="n">
        <x:v>1</x:v>
      </x:c>
      <x:c r="L82" s="10" t="n">
        <x:f>IF(AND(ISNUMBER(H82),ISNUMBER(J82),ISNUMBER(K82)),H82*J82*K82,"")</x:f>
        <x:v>465000</x:v>
      </x:c>
      <x:c r="M82" s="2" t="str">
        <x:v>reported</x:v>
      </x:c>
      <x:c r="N82" s="2" t="str">
        <x:v>No</x:v>
      </x:c>
      <x:c r="O82" s="17"/>
      <x:c r="P82" s="15" t="str"/>
      <x:c r="Q82" s="16" t="d">
        <x:v>2026-03-09T12:00:00.000Z</x:v>
      </x:c>
      <x:c r="R82" s="15" t="str">
        <x:v>Summary Compensation Table</x:v>
      </x:c>
      <x:c r="S82" s="2" t="n">
        <x:v>89</x:v>
      </x:c>
      <x:c r="T82" s="15" t="str">
        <x:v>methanex_circular.pdf</x:v>
      </x:c>
      <x:c r="U82" s="15" t="str">
        <x:v>https://www.methanex.com/wp-content/uploads/2026-Information-Circular.pdf</x:v>
      </x:c>
      <x:c r="V82" s="15" t="str">
        <x:v>52a00ac52176b80ff10264bb3579ff939ece4db1c590d62a2843d5bf6729e6ce</x:v>
      </x:c>
      <x:c r="W82" s="15" t="str">
        <x:v>PDF pp.89-90, SCT notes (1)-(7). Grant-date awards retained; issuer-translated CAD values retained. Annual incentive earned in year, not payment year.</x:v>
      </x:c>
      <x:c r="X82" s="15" t="str">
        <x:v>Annual short-term incentive heading; direct mapping, no long-term amounts combined.</x:v>
      </x:c>
      <x:c r="Y82" s="15" t="str"/>
      <x:c r="Z82" s="2"/>
      <x:c r="AA82" s="2" t="str">
        <x:v>interfor</x:v>
      </x:c>
      <x:c r="AB82" s="2" t="n">
        <x:v>54</x:v>
      </x:c>
      <x:c r="AC82" s="2" t="n">
        <x:v>39</x:v>
      </x:c>
      <x:c r="AD82" s="15" t="str">
        <x:v>Richard A. 2025 566,924 678,920 - - - 46,219 81,403 1,373,466</x:v>
      </x:c>
    </x:row>
    <x:row r="83" ht="48" customHeight="1">
      <x:c r="A83" s="2" t="str">
        <x:v>1ef10bdd8e0c0726ac26</x:v>
      </x:c>
      <x:c r="B83" s="2" t="str">
        <x:v>Methanex Corporation</x:v>
      </x:c>
      <x:c r="C83" s="2" t="str">
        <x:v>Karine Delbarre</x:v>
      </x:c>
      <x:c r="D83" s="16" t="d">
        <x:v>2025-12-31T12:00:00.000Z</x:v>
      </x:c>
      <x:c r="E83" s="2" t="str">
        <x:v>long_term_incentive</x:v>
      </x:c>
      <x:c r="F83" s="15" t="str">
        <x:v>Non-Equity Incentive Plan Compensation - Long-Term Incentive Plans</x:v>
      </x:c>
      <x:c r="G83" s="2" t="str">
        <x:v>—</x:v>
      </x:c>
      <x:c r="H83" s="12"/>
      <x:c r="I83" s="13" t="str">
        <x:v>CAD</x:v>
      </x:c>
      <x:c r="J83" s="13" t="n">
        <x:v>1</x:v>
      </x:c>
      <x:c r="K83" s="14"/>
      <x:c r="L83" s="10" t="str">
        <x:f>IF(AND(ISNUMBER(H83),ISNUMBER(J83),ISNUMBER(K83)),H83*J83*K83,"")</x:f>
      </x:c>
      <x:c r="M83" s="2" t="str">
        <x:v>uncertain</x:v>
      </x:c>
      <x:c r="N83" s="2" t="str">
        <x:v>No</x:v>
      </x:c>
      <x:c r="O83" s="17"/>
      <x:c r="P83" s="15" t="str"/>
      <x:c r="Q83" s="16" t="d">
        <x:v>2026-03-09T12:00:00.000Z</x:v>
      </x:c>
      <x:c r="R83" s="15" t="str">
        <x:v>Summary Compensation Table</x:v>
      </x:c>
      <x:c r="S83" s="2" t="n">
        <x:v>89</x:v>
      </x:c>
      <x:c r="T83" s="15" t="str">
        <x:v>methanex_circular.pdf</x:v>
      </x:c>
      <x:c r="U83" s="15" t="str">
        <x:v>https://www.methanex.com/wp-content/uploads/2026-Information-Circular.pdf</x:v>
      </x:c>
      <x:c r="V83" s="15" t="str">
        <x:v>52a00ac52176b80ff10264bb3579ff939ece4db1c590d62a2843d5bf6729e6ce</x:v>
      </x:c>
      <x:c r="W83" s="15" t="str">
        <x:v>PDF pp.89-90, SCT notes (1)-(7). Grant-date awards retained; issuer-translated CAD values retained. Annual incentive earned in year, not payment year.</x:v>
      </x:c>
      <x:c r="X83" s="15" t="str">
        <x:v>Reported table value; no award revaluation or reconstruction.</x:v>
      </x:c>
      <x:c r="Y83" s="15" t="str">
        <x:v>Source dash has no verified numeric meaning</x:v>
      </x:c>
      <x:c r="Z83" s="2"/>
      <x:c r="AA83" s="2" t="str">
        <x:v>interfor</x:v>
      </x:c>
      <x:c r="AB83" s="2" t="n">
        <x:v>54</x:v>
      </x:c>
      <x:c r="AC83" s="2" t="n">
        <x:v>40</x:v>
      </x:c>
      <x:c r="AD83" s="15" t="str">
        <x:v>Pozzebon 2024 530,400 698,641 - - - 97,923 79,942 1,406,906</x:v>
      </x:c>
    </x:row>
    <x:row r="84" ht="48" customHeight="1">
      <x:c r="A84" s="2" t="str">
        <x:v>1ef10bdd8e0c0726ac26</x:v>
      </x:c>
      <x:c r="B84" s="2" t="str">
        <x:v>Methanex Corporation</x:v>
      </x:c>
      <x:c r="C84" s="2" t="str">
        <x:v>Karine Delbarre</x:v>
      </x:c>
      <x:c r="D84" s="16" t="d">
        <x:v>2025-12-31T12:00:00.000Z</x:v>
      </x:c>
      <x:c r="E84" s="2" t="str">
        <x:v>pension</x:v>
      </x:c>
      <x:c r="F84" s="15" t="str">
        <x:v>Pension Value(6)</x:v>
      </x:c>
      <x:c r="G84" s="2" t="str">
        <x:v>95,654</x:v>
      </x:c>
      <x:c r="H84" s="12" t="n">
        <x:v>95654</x:v>
      </x:c>
      <x:c r="I84" s="13" t="str">
        <x:v>CAD</x:v>
      </x:c>
      <x:c r="J84" s="13" t="n">
        <x:v>1</x:v>
      </x:c>
      <x:c r="K84" s="14" t="n">
        <x:v>1</x:v>
      </x:c>
      <x:c r="L84" s="10" t="n">
        <x:f>IF(AND(ISNUMBER(H84),ISNUMBER(J84),ISNUMBER(K84)),H84*J84*K84,"")</x:f>
        <x:v>95654</x:v>
      </x:c>
      <x:c r="M84" s="2" t="str">
        <x:v>reported</x:v>
      </x:c>
      <x:c r="N84" s="2" t="str">
        <x:v>No</x:v>
      </x:c>
      <x:c r="O84" s="17"/>
      <x:c r="P84" s="15" t="str"/>
      <x:c r="Q84" s="16" t="d">
        <x:v>2026-03-09T12:00:00.000Z</x:v>
      </x:c>
      <x:c r="R84" s="15" t="str">
        <x:v>Summary Compensation Table</x:v>
      </x:c>
      <x:c r="S84" s="2" t="n">
        <x:v>89</x:v>
      </x:c>
      <x:c r="T84" s="15" t="str">
        <x:v>methanex_circular.pdf</x:v>
      </x:c>
      <x:c r="U84" s="15" t="str">
        <x:v>https://www.methanex.com/wp-content/uploads/2026-Information-Circular.pdf</x:v>
      </x:c>
      <x:c r="V84" s="15" t="str">
        <x:v>52a00ac52176b80ff10264bb3579ff939ece4db1c590d62a2843d5bf6729e6ce</x:v>
      </x:c>
      <x:c r="W84" s="15" t="str">
        <x:v>PDF pp.89-90, SCT notes (1)-(7). Grant-date awards retained; issuer-translated CAD values retained. Annual incentive earned in year, not payment year.</x:v>
      </x:c>
      <x:c r="X84" s="15" t="str">
        <x:v>Reported table value; no award revaluation or reconstruction.</x:v>
      </x:c>
      <x:c r="Y84" s="15" t="str"/>
      <x:c r="Z84" s="2"/>
      <x:c r="AA84" s="2" t="str">
        <x:v>interfor</x:v>
      </x:c>
      <x:c r="AB84" s="2" t="n">
        <x:v>54</x:v>
      </x:c>
      <x:c r="AC84" s="2" t="n">
        <x:v>41</x:v>
      </x:c>
      <x:c r="AD84" s="15" t="str">
        <x:v>Executive Vice 2023 518,500 733,200 - 397,800 - 169,940 80,084 1,899,524</x:v>
      </x:c>
    </x:row>
    <x:row r="85" ht="48" customHeight="1">
      <x:c r="A85" s="2" t="str">
        <x:v>1ef10bdd8e0c0726ac26</x:v>
      </x:c>
      <x:c r="B85" s="2" t="str">
        <x:v>Methanex Corporation</x:v>
      </x:c>
      <x:c r="C85" s="2" t="str">
        <x:v>Karine Delbarre</x:v>
      </x:c>
      <x:c r="D85" s="16" t="d">
        <x:v>2025-12-31T12:00:00.000Z</x:v>
      </x:c>
      <x:c r="E85" s="2" t="str">
        <x:v>other</x:v>
      </x:c>
      <x:c r="F85" s="15" t="str">
        <x:v>All Other Compensation(7)</x:v>
      </x:c>
      <x:c r="G85" s="2" t="str">
        <x:v>581,924</x:v>
      </x:c>
      <x:c r="H85" s="12" t="n">
        <x:v>581924</x:v>
      </x:c>
      <x:c r="I85" s="13" t="str">
        <x:v>CAD</x:v>
      </x:c>
      <x:c r="J85" s="13" t="n">
        <x:v>1</x:v>
      </x:c>
      <x:c r="K85" s="14" t="n">
        <x:v>1</x:v>
      </x:c>
      <x:c r="L85" s="10" t="n">
        <x:f>IF(AND(ISNUMBER(H85),ISNUMBER(J85),ISNUMBER(K85)),H85*J85*K85,"")</x:f>
        <x:v>581924</x:v>
      </x:c>
      <x:c r="M85" s="2" t="str">
        <x:v>reported</x:v>
      </x:c>
      <x:c r="N85" s="2" t="str">
        <x:v>No</x:v>
      </x:c>
      <x:c r="O85" s="17"/>
      <x:c r="P85" s="15" t="str"/>
      <x:c r="Q85" s="16" t="d">
        <x:v>2026-03-09T12:00:00.000Z</x:v>
      </x:c>
      <x:c r="R85" s="15" t="str">
        <x:v>Summary Compensation Table</x:v>
      </x:c>
      <x:c r="S85" s="2" t="n">
        <x:v>89</x:v>
      </x:c>
      <x:c r="T85" s="15" t="str">
        <x:v>methanex_circular.pdf</x:v>
      </x:c>
      <x:c r="U85" s="15" t="str">
        <x:v>https://www.methanex.com/wp-content/uploads/2026-Information-Circular.pdf</x:v>
      </x:c>
      <x:c r="V85" s="15" t="str">
        <x:v>52a00ac52176b80ff10264bb3579ff939ece4db1c590d62a2843d5bf6729e6ce</x:v>
      </x:c>
      <x:c r="W85" s="15" t="str">
        <x:v>PDF pp.89-90, SCT notes (1)-(7). Grant-date awards retained; issuer-translated CAD values retained. Annual incentive earned in year, not payment year.</x:v>
      </x:c>
      <x:c r="X85" s="15" t="str">
        <x:v>Reported table value; no award revaluation or reconstruction.</x:v>
      </x:c>
      <x:c r="Y85" s="15" t="str"/>
      <x:c r="Z85" s="2"/>
      <x:c r="AA85" s="2" t="str">
        <x:v>interfor</x:v>
      </x:c>
      <x:c r="AB85" s="2" t="n">
        <x:v>54</x:v>
      </x:c>
      <x:c r="AC85" s="2" t="n">
        <x:v>42</x:v>
      </x:c>
      <x:c r="AD85" s="15" t="str">
        <x:v>President &amp;</x:v>
      </x:c>
    </x:row>
    <x:row r="86" ht="48" customHeight="1">
      <x:c r="A86" s="2" t="str">
        <x:v>74b45ddaf535a9434b9e</x:v>
      </x:c>
      <x:c r="B86" s="2" t="str">
        <x:v>Methanex Corporation</x:v>
      </x:c>
      <x:c r="C86" s="2" t="str">
        <x:v>Kevin Maloney</x:v>
      </x:c>
      <x:c r="D86" s="16" t="d">
        <x:v>2025-12-31T12:00:00.000Z</x:v>
      </x:c>
      <x:c r="E86" s="2" t="str">
        <x:v>total</x:v>
      </x:c>
      <x:c r="F86" s="15" t="str">
        <x:v>Total Compensation</x:v>
      </x:c>
      <x:c r="G86" s="2" t="str">
        <x:v>2,588,183</x:v>
      </x:c>
      <x:c r="H86" s="12" t="n">
        <x:v>2588183</x:v>
      </x:c>
      <x:c r="I86" s="13" t="str">
        <x:v>CAD</x:v>
      </x:c>
      <x:c r="J86" s="13" t="n">
        <x:v>1</x:v>
      </x:c>
      <x:c r="K86" s="14" t="n">
        <x:v>1</x:v>
      </x:c>
      <x:c r="L86" s="10" t="n">
        <x:f>IF(AND(ISNUMBER(H86),ISNUMBER(J86),ISNUMBER(K86)),H86*J86*K86,"")</x:f>
        <x:v>2588183</x:v>
      </x:c>
      <x:c r="M86" s="2" t="str">
        <x:v>reported</x:v>
      </x:c>
      <x:c r="N86" s="2" t="str">
        <x:v>No</x:v>
      </x:c>
      <x:c r="O86" s="17"/>
      <x:c r="P86" s="15" t="str"/>
      <x:c r="Q86" s="16" t="d">
        <x:v>2026-03-09T12:00:00.000Z</x:v>
      </x:c>
      <x:c r="R86" s="15" t="str">
        <x:v>Summary Compensation Table</x:v>
      </x:c>
      <x:c r="S86" s="2" t="n">
        <x:v>89</x:v>
      </x:c>
      <x:c r="T86" s="15" t="str">
        <x:v>methanex_circular.pdf</x:v>
      </x:c>
      <x:c r="U86" s="15" t="str">
        <x:v>https://www.methanex.com/wp-content/uploads/2026-Information-Circular.pdf</x:v>
      </x:c>
      <x:c r="V86" s="15" t="str">
        <x:v>52a00ac52176b80ff10264bb3579ff939ece4db1c590d62a2843d5bf6729e6ce</x:v>
      </x:c>
      <x:c r="W86" s="15" t="str">
        <x:v>PDF pp.89-90, SCT notes (1)-(7). Grant-date awards retained; issuer-translated CAD values retained. Annual incentive earned in year, not payment year.</x:v>
      </x:c>
      <x:c r="X86" s="15" t="str">
        <x:v>Reported table value; no award revaluation or reconstruction.</x:v>
      </x:c>
      <x:c r="Y86" s="15" t="str"/>
      <x:c r="Z86" s="2"/>
      <x:c r="AA86" s="2" t="str">
        <x:v>interfor</x:v>
      </x:c>
      <x:c r="AB86" s="2" t="n">
        <x:v>54</x:v>
      </x:c>
      <x:c r="AC86" s="2" t="n">
        <x:v>43</x:v>
      </x:c>
      <x:c r="AD86" s="15" t="str">
        <x:v>Chief Financial</x:v>
      </x:c>
    </x:row>
    <x:row r="87" ht="48" customHeight="1">
      <x:c r="A87" s="2" t="str">
        <x:v>74b45ddaf535a9434b9e</x:v>
      </x:c>
      <x:c r="B87" s="2" t="str">
        <x:v>Methanex Corporation</x:v>
      </x:c>
      <x:c r="C87" s="2" t="str">
        <x:v>Kevin Maloney</x:v>
      </x:c>
      <x:c r="D87" s="16" t="d">
        <x:v>2025-12-31T12:00:00.000Z</x:v>
      </x:c>
      <x:c r="E87" s="2" t="str">
        <x:v>salary</x:v>
      </x:c>
      <x:c r="F87" s="15" t="str">
        <x:v>Base Salary(2)</x:v>
      </x:c>
      <x:c r="G87" s="2" t="str">
        <x:v>609,750</x:v>
      </x:c>
      <x:c r="H87" s="12" t="n">
        <x:v>609750</x:v>
      </x:c>
      <x:c r="I87" s="13" t="str">
        <x:v>CAD</x:v>
      </x:c>
      <x:c r="J87" s="13" t="n">
        <x:v>1</x:v>
      </x:c>
      <x:c r="K87" s="14" t="n">
        <x:v>1</x:v>
      </x:c>
      <x:c r="L87" s="10" t="n">
        <x:f>IF(AND(ISNUMBER(H87),ISNUMBER(J87),ISNUMBER(K87)),H87*J87*K87,"")</x:f>
        <x:v>609750</x:v>
      </x:c>
      <x:c r="M87" s="2" t="str">
        <x:v>reported</x:v>
      </x:c>
      <x:c r="N87" s="2" t="str">
        <x:v>No</x:v>
      </x:c>
      <x:c r="O87" s="17"/>
      <x:c r="P87" s="15" t="str"/>
      <x:c r="Q87" s="16" t="d">
        <x:v>2026-03-09T12:00:00.000Z</x:v>
      </x:c>
      <x:c r="R87" s="15" t="str">
        <x:v>Summary Compensation Table</x:v>
      </x:c>
      <x:c r="S87" s="2" t="n">
        <x:v>89</x:v>
      </x:c>
      <x:c r="T87" s="15" t="str">
        <x:v>methanex_circular.pdf</x:v>
      </x:c>
      <x:c r="U87" s="15" t="str">
        <x:v>https://www.methanex.com/wp-content/uploads/2026-Information-Circular.pdf</x:v>
      </x:c>
      <x:c r="V87" s="15" t="str">
        <x:v>52a00ac52176b80ff10264bb3579ff939ece4db1c590d62a2843d5bf6729e6ce</x:v>
      </x:c>
      <x:c r="W87" s="15" t="str">
        <x:v>PDF pp.89-90, SCT notes (1)-(7). Grant-date awards retained; issuer-translated CAD values retained. Annual incentive earned in year, not payment year.</x:v>
      </x:c>
      <x:c r="X87" s="15" t="str">
        <x:v>Reported table value; no award revaluation or reconstruction.</x:v>
      </x:c>
      <x:c r="Y87" s="15" t="str"/>
      <x:c r="Z87" s="2"/>
      <x:c r="AA87" s="2" t="str">
        <x:v>interfor</x:v>
      </x:c>
      <x:c r="AB87" s="2" t="n">
        <x:v>54</x:v>
      </x:c>
      <x:c r="AC87" s="2" t="n">
        <x:v>44</x:v>
      </x:c>
      <x:c r="AD87" s="15" t="str">
        <x:v>Officer</x:v>
      </x:c>
    </x:row>
    <x:row r="88" ht="48" customHeight="1">
      <x:c r="A88" s="2" t="str">
        <x:v>74b45ddaf535a9434b9e</x:v>
      </x:c>
      <x:c r="B88" s="2" t="str">
        <x:v>Methanex Corporation</x:v>
      </x:c>
      <x:c r="C88" s="2" t="str">
        <x:v>Kevin Maloney</x:v>
      </x:c>
      <x:c r="D88" s="16" t="d">
        <x:v>2025-12-31T12:00:00.000Z</x:v>
      </x:c>
      <x:c r="E88" s="2" t="str">
        <x:v>share_awards</x:v>
      </x:c>
      <x:c r="F88" s="15" t="str">
        <x:v>Share-Based Awards(3)</x:v>
      </x:c>
      <x:c r="G88" s="2" t="str">
        <x:v>635,473</x:v>
      </x:c>
      <x:c r="H88" s="12" t="n">
        <x:v>635473</x:v>
      </x:c>
      <x:c r="I88" s="13" t="str">
        <x:v>CAD</x:v>
      </x:c>
      <x:c r="J88" s="13" t="n">
        <x:v>1</x:v>
      </x:c>
      <x:c r="K88" s="14" t="n">
        <x:v>1</x:v>
      </x:c>
      <x:c r="L88" s="10" t="n">
        <x:f>IF(AND(ISNUMBER(H88),ISNUMBER(J88),ISNUMBER(K88)),H88*J88*K88,"")</x:f>
        <x:v>635473</x:v>
      </x:c>
      <x:c r="M88" s="2" t="str">
        <x:v>reported</x:v>
      </x:c>
      <x:c r="N88" s="2" t="str">
        <x:v>No</x:v>
      </x:c>
      <x:c r="O88" s="17"/>
      <x:c r="P88" s="15" t="str"/>
      <x:c r="Q88" s="16" t="d">
        <x:v>2026-03-09T12:00:00.000Z</x:v>
      </x:c>
      <x:c r="R88" s="15" t="str">
        <x:v>Summary Compensation Table</x:v>
      </x:c>
      <x:c r="S88" s="2" t="n">
        <x:v>89</x:v>
      </x:c>
      <x:c r="T88" s="15" t="str">
        <x:v>methanex_circular.pdf</x:v>
      </x:c>
      <x:c r="U88" s="15" t="str">
        <x:v>https://www.methanex.com/wp-content/uploads/2026-Information-Circular.pdf</x:v>
      </x:c>
      <x:c r="V88" s="15" t="str">
        <x:v>52a00ac52176b80ff10264bb3579ff939ece4db1c590d62a2843d5bf6729e6ce</x:v>
      </x:c>
      <x:c r="W88" s="15" t="str">
        <x:v>PDF pp.89-90, SCT notes (1)-(7). Grant-date awards retained; issuer-translated CAD values retained. Annual incentive earned in year, not payment year.</x:v>
      </x:c>
      <x:c r="X88" s="15" t="str">
        <x:v>Reported table value; no award revaluation or reconstruction.</x:v>
      </x:c>
      <x:c r="Y88" s="15" t="str"/>
      <x:c r="Z88" s="2"/>
      <x:c r="AA88" s="2" t="str">
        <x:v>interfor</x:v>
      </x:c>
      <x:c r="AB88" s="2" t="n">
        <x:v>54</x:v>
      </x:c>
      <x:c r="AC88" s="2" t="n">
        <x:v>45</x:v>
      </x:c>
      <x:c r="AD88" s="15" t="str">
        <x:v>(Former)(8)</x:v>
      </x:c>
    </x:row>
    <x:row r="89" ht="48" customHeight="1">
      <x:c r="A89" s="2" t="str">
        <x:v>74b45ddaf535a9434b9e</x:v>
      </x:c>
      <x:c r="B89" s="2" t="str">
        <x:v>Methanex Corporation</x:v>
      </x:c>
      <x:c r="C89" s="2" t="str">
        <x:v>Kevin Maloney</x:v>
      </x:c>
      <x:c r="D89" s="16" t="d">
        <x:v>2025-12-31T12:00:00.000Z</x:v>
      </x:c>
      <x:c r="E89" s="2" t="str">
        <x:v>option_awards</x:v>
      </x:c>
      <x:c r="F89" s="15" t="str">
        <x:v>Option-Based Awards(4)</x:v>
      </x:c>
      <x:c r="G89" s="2" t="str">
        <x:v>633,933</x:v>
      </x:c>
      <x:c r="H89" s="12" t="n">
        <x:v>633933</x:v>
      </x:c>
      <x:c r="I89" s="13" t="str">
        <x:v>CAD</x:v>
      </x:c>
      <x:c r="J89" s="13" t="n">
        <x:v>1</x:v>
      </x:c>
      <x:c r="K89" s="14" t="n">
        <x:v>1</x:v>
      </x:c>
      <x:c r="L89" s="10" t="n">
        <x:f>IF(AND(ISNUMBER(H89),ISNUMBER(J89),ISNUMBER(K89)),H89*J89*K89,"")</x:f>
        <x:v>633933</x:v>
      </x:c>
      <x:c r="M89" s="2" t="str">
        <x:v>reported</x:v>
      </x:c>
      <x:c r="N89" s="2" t="str">
        <x:v>No</x:v>
      </x:c>
      <x:c r="O89" s="17"/>
      <x:c r="P89" s="15" t="str"/>
      <x:c r="Q89" s="16" t="d">
        <x:v>2026-03-09T12:00:00.000Z</x:v>
      </x:c>
      <x:c r="R89" s="15" t="str">
        <x:v>Summary Compensation Table</x:v>
      </x:c>
      <x:c r="S89" s="2" t="n">
        <x:v>89</x:v>
      </x:c>
      <x:c r="T89" s="15" t="str">
        <x:v>methanex_circular.pdf</x:v>
      </x:c>
      <x:c r="U89" s="15" t="str">
        <x:v>https://www.methanex.com/wp-content/uploads/2026-Information-Circular.pdf</x:v>
      </x:c>
      <x:c r="V89" s="15" t="str">
        <x:v>52a00ac52176b80ff10264bb3579ff939ece4db1c590d62a2843d5bf6729e6ce</x:v>
      </x:c>
      <x:c r="W89" s="15" t="str">
        <x:v>PDF pp.89-90, SCT notes (1)-(7). Grant-date awards retained; issuer-translated CAD values retained. Annual incentive earned in year, not payment year.</x:v>
      </x:c>
      <x:c r="X89" s="15" t="str">
        <x:v>Reported table value; no award revaluation or reconstruction.</x:v>
      </x:c>
      <x:c r="Y89" s="15" t="str"/>
      <x:c r="Z89" s="2"/>
      <x:c r="AA89" s="2" t="str">
        <x:v>interfor</x:v>
      </x:c>
      <x:c r="AB89" s="2" t="n">
        <x:v>54</x:v>
      </x:c>
      <x:c r="AC89" s="2" t="n">
        <x:v>46</x:v>
      </x:c>
      <x:c r="AD89" s="15" t="str">
        <x:v>S. Bruce 2025 738,207 554,662 - - - 54,426 199,751 1,547,046</x:v>
      </x:c>
    </x:row>
    <x:row r="90" ht="48" customHeight="1">
      <x:c r="A90" s="2" t="str">
        <x:v>74b45ddaf535a9434b9e</x:v>
      </x:c>
      <x:c r="B90" s="2" t="str">
        <x:v>Methanex Corporation</x:v>
      </x:c>
      <x:c r="C90" s="2" t="str">
        <x:v>Kevin Maloney</x:v>
      </x:c>
      <x:c r="D90" s="16" t="d">
        <x:v>2025-12-31T12:00:00.000Z</x:v>
      </x:c>
      <x:c r="E90" s="2" t="str">
        <x:v>annual_incentive</x:v>
      </x:c>
      <x:c r="F90" s="15" t="str">
        <x:v>Non-Equity Incentive Plan Compensation - Annual Incentive Plans(5)</x:v>
      </x:c>
      <x:c r="G90" s="2" t="str">
        <x:v>495,000</x:v>
      </x:c>
      <x:c r="H90" s="12" t="n">
        <x:v>495000</x:v>
      </x:c>
      <x:c r="I90" s="13" t="str">
        <x:v>CAD</x:v>
      </x:c>
      <x:c r="J90" s="13" t="n">
        <x:v>1</x:v>
      </x:c>
      <x:c r="K90" s="14" t="n">
        <x:v>1</x:v>
      </x:c>
      <x:c r="L90" s="10" t="n">
        <x:f>IF(AND(ISNUMBER(H90),ISNUMBER(J90),ISNUMBER(K90)),H90*J90*K90,"")</x:f>
        <x:v>495000</x:v>
      </x:c>
      <x:c r="M90" s="2" t="str">
        <x:v>reported</x:v>
      </x:c>
      <x:c r="N90" s="2" t="str">
        <x:v>No</x:v>
      </x:c>
      <x:c r="O90" s="17"/>
      <x:c r="P90" s="15" t="str"/>
      <x:c r="Q90" s="16" t="d">
        <x:v>2026-03-09T12:00:00.000Z</x:v>
      </x:c>
      <x:c r="R90" s="15" t="str">
        <x:v>Summary Compensation Table</x:v>
      </x:c>
      <x:c r="S90" s="2" t="n">
        <x:v>89</x:v>
      </x:c>
      <x:c r="T90" s="15" t="str">
        <x:v>methanex_circular.pdf</x:v>
      </x:c>
      <x:c r="U90" s="15" t="str">
        <x:v>https://www.methanex.com/wp-content/uploads/2026-Information-Circular.pdf</x:v>
      </x:c>
      <x:c r="V90" s="15" t="str">
        <x:v>52a00ac52176b80ff10264bb3579ff939ece4db1c590d62a2843d5bf6729e6ce</x:v>
      </x:c>
      <x:c r="W90" s="15" t="str">
        <x:v>PDF pp.89-90, SCT notes (1)-(7). Grant-date awards retained; issuer-translated CAD values retained. Annual incentive earned in year, not payment year.</x:v>
      </x:c>
      <x:c r="X90" s="15" t="str">
        <x:v>Annual short-term incentive heading; direct mapping, no long-term amounts combined.</x:v>
      </x:c>
      <x:c r="Y90" s="15" t="str"/>
      <x:c r="Z90" s="2"/>
      <x:c r="AA90" s="2" t="str">
        <x:v>interfor</x:v>
      </x:c>
      <x:c r="AB90" s="2" t="n">
        <x:v>54</x:v>
      </x:c>
      <x:c r="AC90" s="2" t="n">
        <x:v>47</x:v>
      </x:c>
      <x:c r="AD90" s="15" t="str">
        <x:v>Luxmoore 2024 641,066 570,788 - - - 114,291 199,031 1,525,176</x:v>
      </x:c>
    </x:row>
    <x:row r="91" ht="48" customHeight="1">
      <x:c r="A91" s="2" t="str">
        <x:v>74b45ddaf535a9434b9e</x:v>
      </x:c>
      <x:c r="B91" s="2" t="str">
        <x:v>Methanex Corporation</x:v>
      </x:c>
      <x:c r="C91" s="2" t="str">
        <x:v>Kevin Maloney</x:v>
      </x:c>
      <x:c r="D91" s="16" t="d">
        <x:v>2025-12-31T12:00:00.000Z</x:v>
      </x:c>
      <x:c r="E91" s="2" t="str">
        <x:v>long_term_incentive</x:v>
      </x:c>
      <x:c r="F91" s="15" t="str">
        <x:v>Non-Equity Incentive Plan Compensation - Long-Term Incentive Plans</x:v>
      </x:c>
      <x:c r="G91" s="2" t="str">
        <x:v>—</x:v>
      </x:c>
      <x:c r="H91" s="12"/>
      <x:c r="I91" s="13" t="str">
        <x:v>CAD</x:v>
      </x:c>
      <x:c r="J91" s="13" t="n">
        <x:v>1</x:v>
      </x:c>
      <x:c r="K91" s="14"/>
      <x:c r="L91" s="10" t="str">
        <x:f>IF(AND(ISNUMBER(H91),ISNUMBER(J91),ISNUMBER(K91)),H91*J91*K91,"")</x:f>
      </x:c>
      <x:c r="M91" s="2" t="str">
        <x:v>uncertain</x:v>
      </x:c>
      <x:c r="N91" s="2" t="str">
        <x:v>No</x:v>
      </x:c>
      <x:c r="O91" s="17"/>
      <x:c r="P91" s="15" t="str"/>
      <x:c r="Q91" s="16" t="d">
        <x:v>2026-03-09T12:00:00.000Z</x:v>
      </x:c>
      <x:c r="R91" s="15" t="str">
        <x:v>Summary Compensation Table</x:v>
      </x:c>
      <x:c r="S91" s="2" t="n">
        <x:v>89</x:v>
      </x:c>
      <x:c r="T91" s="15" t="str">
        <x:v>methanex_circular.pdf</x:v>
      </x:c>
      <x:c r="U91" s="15" t="str">
        <x:v>https://www.methanex.com/wp-content/uploads/2026-Information-Circular.pdf</x:v>
      </x:c>
      <x:c r="V91" s="15" t="str">
        <x:v>52a00ac52176b80ff10264bb3579ff939ece4db1c590d62a2843d5bf6729e6ce</x:v>
      </x:c>
      <x:c r="W91" s="15" t="str">
        <x:v>PDF pp.89-90, SCT notes (1)-(7). Grant-date awards retained; issuer-translated CAD values retained. Annual incentive earned in year, not payment year.</x:v>
      </x:c>
      <x:c r="X91" s="15" t="str">
        <x:v>Reported table value; no award revaluation or reconstruction.</x:v>
      </x:c>
      <x:c r="Y91" s="15" t="str">
        <x:v>Source dash has no verified numeric meaning</x:v>
      </x:c>
      <x:c r="Z91" s="2"/>
      <x:c r="AA91" s="2" t="str">
        <x:v>interfor</x:v>
      </x:c>
      <x:c r="AB91" s="2" t="n">
        <x:v>54</x:v>
      </x:c>
      <x:c r="AC91" s="2" t="n">
        <x:v>48</x:v>
      </x:c>
      <x:c r="AD91" s="15" t="str">
        <x:v>Executive Vice 2023 617,488 599,024 - 505,328 - 205,168 196,464 2,123,472</x:v>
      </x:c>
    </x:row>
    <x:row r="92" ht="48" customHeight="1">
      <x:c r="A92" s="2" t="str">
        <x:v>74b45ddaf535a9434b9e</x:v>
      </x:c>
      <x:c r="B92" s="2" t="str">
        <x:v>Methanex Corporation</x:v>
      </x:c>
      <x:c r="C92" s="2" t="str">
        <x:v>Kevin Maloney</x:v>
      </x:c>
      <x:c r="D92" s="16" t="d">
        <x:v>2025-12-31T12:00:00.000Z</x:v>
      </x:c>
      <x:c r="E92" s="2" t="str">
        <x:v>pension</x:v>
      </x:c>
      <x:c r="F92" s="15" t="str">
        <x:v>Pension Value(6)</x:v>
      </x:c>
      <x:c r="G92" s="2" t="str">
        <x:v>114,023</x:v>
      </x:c>
      <x:c r="H92" s="12" t="n">
        <x:v>114023</x:v>
      </x:c>
      <x:c r="I92" s="13" t="str">
        <x:v>CAD</x:v>
      </x:c>
      <x:c r="J92" s="13" t="n">
        <x:v>1</x:v>
      </x:c>
      <x:c r="K92" s="14" t="n">
        <x:v>1</x:v>
      </x:c>
      <x:c r="L92" s="10" t="n">
        <x:f>IF(AND(ISNUMBER(H92),ISNUMBER(J92),ISNUMBER(K92)),H92*J92*K92,"")</x:f>
        <x:v>114023</x:v>
      </x:c>
      <x:c r="M92" s="2" t="str">
        <x:v>reported</x:v>
      </x:c>
      <x:c r="N92" s="2" t="str">
        <x:v>No</x:v>
      </x:c>
      <x:c r="O92" s="17"/>
      <x:c r="P92" s="15" t="str"/>
      <x:c r="Q92" s="16" t="d">
        <x:v>2026-03-09T12:00:00.000Z</x:v>
      </x:c>
      <x:c r="R92" s="15" t="str">
        <x:v>Summary Compensation Table</x:v>
      </x:c>
      <x:c r="S92" s="2" t="n">
        <x:v>89</x:v>
      </x:c>
      <x:c r="T92" s="15" t="str">
        <x:v>methanex_circular.pdf</x:v>
      </x:c>
      <x:c r="U92" s="15" t="str">
        <x:v>https://www.methanex.com/wp-content/uploads/2026-Information-Circular.pdf</x:v>
      </x:c>
      <x:c r="V92" s="15" t="str">
        <x:v>52a00ac52176b80ff10264bb3579ff939ece4db1c590d62a2843d5bf6729e6ce</x:v>
      </x:c>
      <x:c r="W92" s="15" t="str">
        <x:v>PDF pp.89-90, SCT notes (1)-(7). Grant-date awards retained; issuer-translated CAD values retained. Annual incentive earned in year, not payment year.</x:v>
      </x:c>
      <x:c r="X92" s="15" t="str">
        <x:v>Reported table value; no award revaluation or reconstruction.</x:v>
      </x:c>
      <x:c r="Y92" s="15" t="str"/>
      <x:c r="Z92" s="2"/>
      <x:c r="AA92" s="2" t="str">
        <x:v>interfor</x:v>
      </x:c>
      <x:c r="AB92" s="2" t="n">
        <x:v>54</x:v>
      </x:c>
      <x:c r="AC92" s="2" t="n">
        <x:v>49</x:v>
      </x:c>
      <x:c r="AD92" s="15" t="str">
        <x:v>President, U.S.</x:v>
      </x:c>
    </x:row>
    <x:row r="93" ht="48" customHeight="1">
      <x:c r="A93" s="2" t="str">
        <x:v>74b45ddaf535a9434b9e</x:v>
      </x:c>
      <x:c r="B93" s="2" t="str">
        <x:v>Methanex Corporation</x:v>
      </x:c>
      <x:c r="C93" s="2" t="str">
        <x:v>Kevin Maloney</x:v>
      </x:c>
      <x:c r="D93" s="16" t="d">
        <x:v>2025-12-31T12:00:00.000Z</x:v>
      </x:c>
      <x:c r="E93" s="2" t="str">
        <x:v>other</x:v>
      </x:c>
      <x:c r="F93" s="15" t="str">
        <x:v>All Other Compensation(7)</x:v>
      </x:c>
      <x:c r="G93" s="2" t="str">
        <x:v>100,004</x:v>
      </x:c>
      <x:c r="H93" s="12" t="n">
        <x:v>100004</x:v>
      </x:c>
      <x:c r="I93" s="13" t="str">
        <x:v>CAD</x:v>
      </x:c>
      <x:c r="J93" s="13" t="n">
        <x:v>1</x:v>
      </x:c>
      <x:c r="K93" s="14" t="n">
        <x:v>1</x:v>
      </x:c>
      <x:c r="L93" s="10" t="n">
        <x:f>IF(AND(ISNUMBER(H93),ISNUMBER(J93),ISNUMBER(K93)),H93*J93*K93,"")</x:f>
        <x:v>100004</x:v>
      </x:c>
      <x:c r="M93" s="2" t="str">
        <x:v>reported</x:v>
      </x:c>
      <x:c r="N93" s="2" t="str">
        <x:v>No</x:v>
      </x:c>
      <x:c r="O93" s="17"/>
      <x:c r="P93" s="15" t="str"/>
      <x:c r="Q93" s="16" t="d">
        <x:v>2026-03-09T12:00:00.000Z</x:v>
      </x:c>
      <x:c r="R93" s="15" t="str">
        <x:v>Summary Compensation Table</x:v>
      </x:c>
      <x:c r="S93" s="2" t="n">
        <x:v>89</x:v>
      </x:c>
      <x:c r="T93" s="15" t="str">
        <x:v>methanex_circular.pdf</x:v>
      </x:c>
      <x:c r="U93" s="15" t="str">
        <x:v>https://www.methanex.com/wp-content/uploads/2026-Information-Circular.pdf</x:v>
      </x:c>
      <x:c r="V93" s="15" t="str">
        <x:v>52a00ac52176b80ff10264bb3579ff939ece4db1c590d62a2843d5bf6729e6ce</x:v>
      </x:c>
      <x:c r="W93" s="15" t="str">
        <x:v>PDF pp.89-90, SCT notes (1)-(7). Grant-date awards retained; issuer-translated CAD values retained. Annual incentive earned in year, not payment year.</x:v>
      </x:c>
      <x:c r="X93" s="15" t="str">
        <x:v>Reported table value; no award revaluation or reconstruction.</x:v>
      </x:c>
      <x:c r="Y93" s="15" t="str"/>
      <x:c r="Z93" s="2"/>
      <x:c r="AA93" s="2" t="str">
        <x:v>interfor</x:v>
      </x:c>
      <x:c r="AB93" s="2" t="n">
        <x:v>54</x:v>
      </x:c>
      <x:c r="AC93" s="2" t="n">
        <x:v>50</x:v>
      </x:c>
      <x:c r="AD93" s="15" t="str">
        <x:v>Operations</x:v>
      </x:c>
    </x:row>
    <x:row r="94" ht="48" customHeight="1">
      <x:c r="A94" s="2" t="str">
        <x:v>38ae97541b0ad1fe15e8</x:v>
      </x:c>
      <x:c r="B94" s="2" t="str">
        <x:v>Interfor Corporation</x:v>
      </x:c>
      <x:c r="C94" s="2" t="str">
        <x:v>S. Bruce Luxmoore</x:v>
      </x:c>
      <x:c r="D94" s="16" t="d">
        <x:v>2025-12-31T12:00:00.000Z</x:v>
      </x:c>
      <x:c r="E94" s="2" t="str">
        <x:v>total</x:v>
      </x:c>
      <x:c r="F94" s="15" t="str">
        <x:v>Total Compensation(6)</x:v>
      </x:c>
      <x:c r="G94" s="2" t="str">
        <x:v>1,547,046</x:v>
      </x:c>
      <x:c r="H94" s="12" t="n">
        <x:v>1547046</x:v>
      </x:c>
      <x:c r="I94" s="13" t="str">
        <x:v>CAD</x:v>
      </x:c>
      <x:c r="J94" s="13" t="n">
        <x:v>1</x:v>
      </x:c>
      <x:c r="K94" s="14" t="n">
        <x:v>1</x:v>
      </x:c>
      <x:c r="L94" s="10" t="n">
        <x:f>IF(AND(ISNUMBER(H94),ISNUMBER(J94),ISNUMBER(K94)),H94*J94*K94,"")</x:f>
        <x:v>1547046</x:v>
      </x:c>
      <x:c r="M94" s="2" t="str">
        <x:v>reported</x:v>
      </x:c>
      <x:c r="N94" s="2" t="str">
        <x:v>No</x:v>
      </x:c>
      <x:c r="O94" s="17"/>
      <x:c r="P94" s="15" t="str"/>
      <x:c r="Q94" s="16" t="d">
        <x:v>2026-03-17T12:00:00.000Z</x:v>
      </x:c>
      <x:c r="R94" s="15" t="str">
        <x:v>Summary Compensation Table</x:v>
      </x:c>
      <x:c r="S94" s="2" t="n">
        <x:v>54</x:v>
      </x:c>
      <x:c r="T94" s="15" t="str">
        <x:v>interfor_circular.pdf</x:v>
      </x:c>
      <x:c r="U94" s="15" t="str">
        <x:v>https://interfor.com/wp-content/uploads/2026/03/Information-Circular.pdf</x:v>
      </x:c>
      <x:c r="V94" s="15" t="str">
        <x:v>62f51d3625c51cfac54e4777b67a1bfbaa6e39bc401662ebdd3ed347167ab3ab</x:v>
      </x:c>
      <x:c r="W94" s="15" t="str">
        <x:v>PDF pp.54-55, SCT notes (1)-(9). Awards are grant-date fair values. Some US employees already translated to CAD by issuer; do not reconvert.</x:v>
      </x:c>
      <x:c r="X94" s="15" t="str">
        <x:v>Reported table value; no award revaluation or reconstruction.</x:v>
      </x:c>
      <x:c r="Y94" s="15" t="str"/>
      <x:c r="Z94" s="2"/>
      <x:c r="AA94" s="2" t="str">
        <x:v>interfor</x:v>
      </x:c>
      <x:c r="AB94" s="2" t="n">
        <x:v>54</x:v>
      </x:c>
      <x:c r="AC94" s="2" t="n">
        <x:v>51</x:v>
      </x:c>
      <x:c r="AD94" s="15" t="str">
        <x:v>(Former)(7)(9)</x:v>
      </x:c>
    </x:row>
    <x:row r="95" ht="48" customHeight="1">
      <x:c r="A95" s="2" t="str">
        <x:v>38ae97541b0ad1fe15e8</x:v>
      </x:c>
      <x:c r="B95" s="2" t="str">
        <x:v>Interfor Corporation</x:v>
      </x:c>
      <x:c r="C95" s="2" t="str">
        <x:v>S. Bruce Luxmoore</x:v>
      </x:c>
      <x:c r="D95" s="16" t="d">
        <x:v>2025-12-31T12:00:00.000Z</x:v>
      </x:c>
      <x:c r="E95" s="2" t="str">
        <x:v>salary</x:v>
      </x:c>
      <x:c r="F95" s="15" t="str">
        <x:v>Salary</x:v>
      </x:c>
      <x:c r="G95" s="2" t="str">
        <x:v>738,207</x:v>
      </x:c>
      <x:c r="H95" s="12" t="n">
        <x:v>738207</x:v>
      </x:c>
      <x:c r="I95" s="13" t="str">
        <x:v>CAD</x:v>
      </x:c>
      <x:c r="J95" s="13" t="n">
        <x:v>1</x:v>
      </x:c>
      <x:c r="K95" s="14" t="n">
        <x:v>1</x:v>
      </x:c>
      <x:c r="L95" s="10" t="n">
        <x:f>IF(AND(ISNUMBER(H95),ISNUMBER(J95),ISNUMBER(K95)),H95*J95*K95,"")</x:f>
        <x:v>738207</x:v>
      </x:c>
      <x:c r="M95" s="2" t="str">
        <x:v>reported</x:v>
      </x:c>
      <x:c r="N95" s="2" t="str">
        <x:v>No</x:v>
      </x:c>
      <x:c r="O95" s="17"/>
      <x:c r="P95" s="15" t="str"/>
      <x:c r="Q95" s="16" t="d">
        <x:v>2026-03-17T12:00:00.000Z</x:v>
      </x:c>
      <x:c r="R95" s="15" t="str">
        <x:v>Summary Compensation Table</x:v>
      </x:c>
      <x:c r="S95" s="2" t="n">
        <x:v>54</x:v>
      </x:c>
      <x:c r="T95" s="15" t="str">
        <x:v>interfor_circular.pdf</x:v>
      </x:c>
      <x:c r="U95" s="15" t="str">
        <x:v>https://interfor.com/wp-content/uploads/2026/03/Information-Circular.pdf</x:v>
      </x:c>
      <x:c r="V95" s="15" t="str">
        <x:v>62f51d3625c51cfac54e4777b67a1bfbaa6e39bc401662ebdd3ed347167ab3ab</x:v>
      </x:c>
      <x:c r="W95" s="15" t="str">
        <x:v>PDF pp.54-55, SCT notes (1)-(9). Awards are grant-date fair values. Some US employees already translated to CAD by issuer; do not reconvert.</x:v>
      </x:c>
      <x:c r="X95" s="15" t="str">
        <x:v>Reported table value; no award revaluation or reconstruction.</x:v>
      </x:c>
      <x:c r="Y95" s="15" t="str"/>
      <x:c r="Z95" s="2"/>
      <x:c r="AA95" s="2" t="str">
        <x:v>interfor</x:v>
      </x:c>
      <x:c r="AB95" s="2" t="n">
        <x:v>54</x:v>
      </x:c>
      <x:c r="AC95" s="2" t="n">
        <x:v>52</x:v>
      </x:c>
      <x:c r="AD95" s="15" t="str">
        <x:v>(1) 60% of Share Based Awards consists of PSUs awarded under the PSU Plan, and the remaining 40% consists of RSUs awarded under the RSU Plan. The</x:v>
      </x:c>
    </x:row>
    <x:row r="96" ht="48" customHeight="1">
      <x:c r="A96" s="2" t="str">
        <x:v>38ae97541b0ad1fe15e8</x:v>
      </x:c>
      <x:c r="B96" s="2" t="str">
        <x:v>Interfor Corporation</x:v>
      </x:c>
      <x:c r="C96" s="2" t="str">
        <x:v>S. Bruce Luxmoore</x:v>
      </x:c>
      <x:c r="D96" s="16" t="d">
        <x:v>2025-12-31T12:00:00.000Z</x:v>
      </x:c>
      <x:c r="E96" s="2" t="str">
        <x:v>share_awards</x:v>
      </x:c>
      <x:c r="F96" s="15" t="str">
        <x:v>Share Based Awards (1)(2)</x:v>
      </x:c>
      <x:c r="G96" s="2" t="str">
        <x:v>554,662</x:v>
      </x:c>
      <x:c r="H96" s="12" t="n">
        <x:v>554662</x:v>
      </x:c>
      <x:c r="I96" s="13" t="str">
        <x:v>CAD</x:v>
      </x:c>
      <x:c r="J96" s="13" t="n">
        <x:v>1</x:v>
      </x:c>
      <x:c r="K96" s="14" t="n">
        <x:v>1</x:v>
      </x:c>
      <x:c r="L96" s="10" t="n">
        <x:f>IF(AND(ISNUMBER(H96),ISNUMBER(J96),ISNUMBER(K96)),H96*J96*K96,"")</x:f>
        <x:v>554662</x:v>
      </x:c>
      <x:c r="M96" s="2" t="str">
        <x:v>reported</x:v>
      </x:c>
      <x:c r="N96" s="2" t="str">
        <x:v>No</x:v>
      </x:c>
      <x:c r="O96" s="17"/>
      <x:c r="P96" s="15" t="str"/>
      <x:c r="Q96" s="16" t="d">
        <x:v>2026-03-17T12:00:00.000Z</x:v>
      </x:c>
      <x:c r="R96" s="15" t="str">
        <x:v>Summary Compensation Table</x:v>
      </x:c>
      <x:c r="S96" s="2" t="n">
        <x:v>54</x:v>
      </x:c>
      <x:c r="T96" s="15" t="str">
        <x:v>interfor_circular.pdf</x:v>
      </x:c>
      <x:c r="U96" s="15" t="str">
        <x:v>https://interfor.com/wp-content/uploads/2026/03/Information-Circular.pdf</x:v>
      </x:c>
      <x:c r="V96" s="15" t="str">
        <x:v>62f51d3625c51cfac54e4777b67a1bfbaa6e39bc401662ebdd3ed347167ab3ab</x:v>
      </x:c>
      <x:c r="W96" s="15" t="str">
        <x:v>PDF pp.54-55, SCT notes (1)-(9). Awards are grant-date fair values. Some US employees already translated to CAD by issuer; do not reconvert.</x:v>
      </x:c>
      <x:c r="X96" s="15" t="str">
        <x:v>Reported table value; no award revaluation or reconstruction.</x:v>
      </x:c>
      <x:c r="Y96" s="15" t="str"/>
      <x:c r="Z96" s="2"/>
      <x:c r="AA96" s="2" t="str">
        <x:v>interfor</x:v>
      </x:c>
      <x:c r="AB96" s="2" t="n">
        <x:v>54</x:v>
      </x:c>
      <x:c r="AC96" s="2" t="n">
        <x:v>53</x:v>
      </x:c>
      <x:c r="AD96" s="15" t="str">
        <x:v>amounts shown for PSU awards represents the fair value of the award at grant date. The fair value of the PSU awards were calculated by multiplying the</x:v>
      </x:c>
    </x:row>
    <x:row r="97" ht="48" customHeight="1">
      <x:c r="A97" s="2" t="str">
        <x:v>38ae97541b0ad1fe15e8</x:v>
      </x:c>
      <x:c r="B97" s="2" t="str">
        <x:v>Interfor Corporation</x:v>
      </x:c>
      <x:c r="C97" s="2" t="str">
        <x:v>S. Bruce Luxmoore</x:v>
      </x:c>
      <x:c r="D97" s="16" t="d">
        <x:v>2025-12-31T12:00:00.000Z</x:v>
      </x:c>
      <x:c r="E97" s="2" t="str">
        <x:v>option_awards</x:v>
      </x:c>
      <x:c r="F97" s="15" t="str">
        <x:v>Option Based Awards</x:v>
      </x:c>
      <x:c r="G97" s="2" t="str">
        <x:v>-</x:v>
      </x:c>
      <x:c r="H97" s="12"/>
      <x:c r="I97" s="13" t="str">
        <x:v>CAD</x:v>
      </x:c>
      <x:c r="J97" s="13" t="n">
        <x:v>1</x:v>
      </x:c>
      <x:c r="K97" s="14"/>
      <x:c r="L97" s="10" t="str">
        <x:f>IF(AND(ISNUMBER(H97),ISNUMBER(J97),ISNUMBER(K97)),H97*J97*K97,"")</x:f>
      </x:c>
      <x:c r="M97" s="2" t="str">
        <x:v>uncertain</x:v>
      </x:c>
      <x:c r="N97" s="2" t="str">
        <x:v>No</x:v>
      </x:c>
      <x:c r="O97" s="17"/>
      <x:c r="P97" s="15" t="str"/>
      <x:c r="Q97" s="16" t="d">
        <x:v>2026-03-17T12:00:00.000Z</x:v>
      </x:c>
      <x:c r="R97" s="15" t="str">
        <x:v>Summary Compensation Table</x:v>
      </x:c>
      <x:c r="S97" s="2" t="n">
        <x:v>54</x:v>
      </x:c>
      <x:c r="T97" s="15" t="str">
        <x:v>interfor_circular.pdf</x:v>
      </x:c>
      <x:c r="U97" s="15" t="str">
        <x:v>https://interfor.com/wp-content/uploads/2026/03/Information-Circular.pdf</x:v>
      </x:c>
      <x:c r="V97" s="15" t="str">
        <x:v>62f51d3625c51cfac54e4777b67a1bfbaa6e39bc401662ebdd3ed347167ab3ab</x:v>
      </x:c>
      <x:c r="W97" s="15" t="str">
        <x:v>PDF pp.54-55, SCT notes (1)-(9). Awards are grant-date fair values. Some US employees already translated to CAD by issuer; do not reconvert.</x:v>
      </x:c>
      <x:c r="X97" s="15" t="str">
        <x:v>Reported table value; no award revaluation or reconstruction.</x:v>
      </x:c>
      <x:c r="Y97" s="15" t="str">
        <x:v>Source dash has no verified numeric meaning</x:v>
      </x:c>
      <x:c r="Z97" s="2"/>
      <x:c r="AA97" s="2" t="str">
        <x:v>interfor</x:v>
      </x:c>
      <x:c r="AB97" s="2" t="n">
        <x:v>54</x:v>
      </x:c>
      <x:c r="AC97" s="2" t="n">
        <x:v>54</x:v>
      </x:c>
      <x:c r="AD97" s="15" t="str">
        <x:v>number of PSUs granted by their grant date Market Value, because the ROCE performance conditions cannot be appropriately valued using the Black-Scholes</x:v>
      </x:c>
    </x:row>
    <x:row r="98" ht="48" customHeight="1">
      <x:c r="A98" s="2" t="str">
        <x:v>38ae97541b0ad1fe15e8</x:v>
      </x:c>
      <x:c r="B98" s="2" t="str">
        <x:v>Interfor Corporation</x:v>
      </x:c>
      <x:c r="C98" s="2" t="str">
        <x:v>S. Bruce Luxmoore</x:v>
      </x:c>
      <x:c r="D98" s="16" t="d">
        <x:v>2025-12-31T12:00:00.000Z</x:v>
      </x:c>
      <x:c r="E98" s="2" t="str">
        <x:v>annual_incentive</x:v>
      </x:c>
      <x:c r="F98" s="15" t="str">
        <x:v>Non-Equity Incentive Plan Compensation - Annual Incentive Plans(3)</x:v>
      </x:c>
      <x:c r="G98" s="2" t="str">
        <x:v>-</x:v>
      </x:c>
      <x:c r="H98" s="12"/>
      <x:c r="I98" s="13" t="str">
        <x:v>CAD</x:v>
      </x:c>
      <x:c r="J98" s="13" t="n">
        <x:v>1</x:v>
      </x:c>
      <x:c r="K98" s="14"/>
      <x:c r="L98" s="10" t="str">
        <x:f>IF(AND(ISNUMBER(H98),ISNUMBER(J98),ISNUMBER(K98)),H98*J98*K98,"")</x:f>
      </x:c>
      <x:c r="M98" s="2" t="str">
        <x:v>uncertain</x:v>
      </x:c>
      <x:c r="N98" s="2" t="str">
        <x:v>No</x:v>
      </x:c>
      <x:c r="O98" s="17"/>
      <x:c r="P98" s="15" t="str"/>
      <x:c r="Q98" s="16" t="d">
        <x:v>2026-03-17T12:00:00.000Z</x:v>
      </x:c>
      <x:c r="R98" s="15" t="str">
        <x:v>Summary Compensation Table</x:v>
      </x:c>
      <x:c r="S98" s="2" t="n">
        <x:v>54</x:v>
      </x:c>
      <x:c r="T98" s="15" t="str">
        <x:v>interfor_circular.pdf</x:v>
      </x:c>
      <x:c r="U98" s="15" t="str">
        <x:v>https://interfor.com/wp-content/uploads/2026/03/Information-Circular.pdf</x:v>
      </x:c>
      <x:c r="V98" s="15" t="str">
        <x:v>62f51d3625c51cfac54e4777b67a1bfbaa6e39bc401662ebdd3ed347167ab3ab</x:v>
      </x:c>
      <x:c r="W98" s="15" t="str">
        <x:v>PDF pp.54-55, SCT notes (1)-(9). Awards are grant-date fair values. Some US employees already translated to CAD by issuer; do not reconvert.</x:v>
      </x:c>
      <x:c r="X98" s="15" t="str">
        <x:v>Annual short-term incentive heading; direct mapping, no long-term amounts combined.</x:v>
      </x:c>
      <x:c r="Y98" s="15" t="str">
        <x:v>Source dash has no verified numeric meaning</x:v>
      </x:c>
      <x:c r="Z98" s="2"/>
      <x:c r="AA98" s="2" t="str">
        <x:v>interfor</x:v>
      </x:c>
      <x:c r="AB98" s="2" t="n">
        <x:v>54</x:v>
      </x:c>
      <x:c r="AC98" s="2" t="n">
        <x:v>55</x:v>
      </x:c>
      <x:c r="AD98" s="15" t="str">
        <x:v>pricing model. This is consistent with the methodology used for financial reporting purposes, in accordance with IFRS 2, Share-based Payment (IFRS 2). The</x:v>
      </x:c>
    </x:row>
    <x:row r="99" ht="48" customHeight="1">
      <x:c r="A99" s="2" t="str">
        <x:v>38ae97541b0ad1fe15e8</x:v>
      </x:c>
      <x:c r="B99" s="2" t="str">
        <x:v>Interfor Corporation</x:v>
      </x:c>
      <x:c r="C99" s="2" t="str">
        <x:v>S. Bruce Luxmoore</x:v>
      </x:c>
      <x:c r="D99" s="16" t="d">
        <x:v>2025-12-31T12:00:00.000Z</x:v>
      </x:c>
      <x:c r="E99" s="2" t="str">
        <x:v>long_term_incentive</x:v>
      </x:c>
      <x:c r="F99" s="15" t="str">
        <x:v>Non-Equity Incentive Plan Compensation - Long-term Incentive Plans</x:v>
      </x:c>
      <x:c r="G99" s="2" t="str">
        <x:v>-</x:v>
      </x:c>
      <x:c r="H99" s="12"/>
      <x:c r="I99" s="13" t="str">
        <x:v>CAD</x:v>
      </x:c>
      <x:c r="J99" s="13" t="n">
        <x:v>1</x:v>
      </x:c>
      <x:c r="K99" s="14"/>
      <x:c r="L99" s="10" t="str">
        <x:f>IF(AND(ISNUMBER(H99),ISNUMBER(J99),ISNUMBER(K99)),H99*J99*K99,"")</x:f>
      </x:c>
      <x:c r="M99" s="2" t="str">
        <x:v>uncertain</x:v>
      </x:c>
      <x:c r="N99" s="2" t="str">
        <x:v>No</x:v>
      </x:c>
      <x:c r="O99" s="17"/>
      <x:c r="P99" s="15" t="str"/>
      <x:c r="Q99" s="16" t="d">
        <x:v>2026-03-17T12:00:00.000Z</x:v>
      </x:c>
      <x:c r="R99" s="15" t="str">
        <x:v>Summary Compensation Table</x:v>
      </x:c>
      <x:c r="S99" s="2" t="n">
        <x:v>54</x:v>
      </x:c>
      <x:c r="T99" s="15" t="str">
        <x:v>interfor_circular.pdf</x:v>
      </x:c>
      <x:c r="U99" s="15" t="str">
        <x:v>https://interfor.com/wp-content/uploads/2026/03/Information-Circular.pdf</x:v>
      </x:c>
      <x:c r="V99" s="15" t="str">
        <x:v>62f51d3625c51cfac54e4777b67a1bfbaa6e39bc401662ebdd3ed347167ab3ab</x:v>
      </x:c>
      <x:c r="W99" s="15" t="str">
        <x:v>PDF pp.54-55, SCT notes (1)-(9). Awards are grant-date fair values. Some US employees already translated to CAD by issuer; do not reconvert.</x:v>
      </x:c>
      <x:c r="X99" s="15" t="str">
        <x:v>Reported table value; no award revaluation or reconstruction.</x:v>
      </x:c>
      <x:c r="Y99" s="15" t="str">
        <x:v>Source dash has no verified numeric meaning</x:v>
      </x:c>
      <x:c r="Z99" s="2"/>
      <x:c r="AA99" s="2" t="str">
        <x:v>interfor</x:v>
      </x:c>
      <x:c r="AB99" s="2" t="n">
        <x:v>54</x:v>
      </x:c>
      <x:c r="AC99" s="2" t="n">
        <x:v>56</x:v>
      </x:c>
      <x:c r="AD99" s="15" t="str">
        <x:v>fair value of the PSUs on grant date does not represent the actual value of the payout which will be received at the end of the Performance Period.</x:v>
      </x:c>
    </x:row>
    <x:row r="100" ht="48" customHeight="1">
      <x:c r="A100" s="2" t="str">
        <x:v>38ae97541b0ad1fe15e8</x:v>
      </x:c>
      <x:c r="B100" s="2" t="str">
        <x:v>Interfor Corporation</x:v>
      </x:c>
      <x:c r="C100" s="2" t="str">
        <x:v>S. Bruce Luxmoore</x:v>
      </x:c>
      <x:c r="D100" s="16" t="d">
        <x:v>2025-12-31T12:00:00.000Z</x:v>
      </x:c>
      <x:c r="E100" s="2" t="str">
        <x:v>pension</x:v>
      </x:c>
      <x:c r="F100" s="15" t="str">
        <x:v>Pension Value(4)</x:v>
      </x:c>
      <x:c r="G100" s="2" t="str">
        <x:v>54,426</x:v>
      </x:c>
      <x:c r="H100" s="12" t="n">
        <x:v>54426</x:v>
      </x:c>
      <x:c r="I100" s="13" t="str">
        <x:v>CAD</x:v>
      </x:c>
      <x:c r="J100" s="13" t="n">
        <x:v>1</x:v>
      </x:c>
      <x:c r="K100" s="14" t="n">
        <x:v>1</x:v>
      </x:c>
      <x:c r="L100" s="10" t="n">
        <x:f>IF(AND(ISNUMBER(H100),ISNUMBER(J100),ISNUMBER(K100)),H100*J100*K100,"")</x:f>
        <x:v>54426</x:v>
      </x:c>
      <x:c r="M100" s="2" t="str">
        <x:v>reported</x:v>
      </x:c>
      <x:c r="N100" s="2" t="str">
        <x:v>No</x:v>
      </x:c>
      <x:c r="O100" s="17"/>
      <x:c r="P100" s="15" t="str"/>
      <x:c r="Q100" s="16" t="d">
        <x:v>2026-03-17T12:00:00.000Z</x:v>
      </x:c>
      <x:c r="R100" s="15" t="str">
        <x:v>Summary Compensation Table</x:v>
      </x:c>
      <x:c r="S100" s="2" t="n">
        <x:v>54</x:v>
      </x:c>
      <x:c r="T100" s="15" t="str">
        <x:v>interfor_circular.pdf</x:v>
      </x:c>
      <x:c r="U100" s="15" t="str">
        <x:v>https://interfor.com/wp-content/uploads/2026/03/Information-Circular.pdf</x:v>
      </x:c>
      <x:c r="V100" s="15" t="str">
        <x:v>62f51d3625c51cfac54e4777b67a1bfbaa6e39bc401662ebdd3ed347167ab3ab</x:v>
      </x:c>
      <x:c r="W100" s="15" t="str">
        <x:v>PDF pp.54-55, SCT notes (1)-(9). Awards are grant-date fair values. Some US employees already translated to CAD by issuer; do not reconvert.</x:v>
      </x:c>
      <x:c r="X100" s="15" t="str">
        <x:v>Reported table value; no award revaluation or reconstruction.</x:v>
      </x:c>
      <x:c r="Y100" s="15" t="str"/>
      <x:c r="Z100" s="2"/>
      <x:c r="AA100" s="2" t="str">
        <x:v>interfor</x:v>
      </x:c>
      <x:c r="AB100" s="2" t="n">
        <x:v>54</x:v>
      </x:c>
      <x:c r="AC100" s="2" t="n">
        <x:v>57</x:v>
      </x:c>
      <x:c r="AD100" s="15" t="str">
        <x:v>(2) 40% of Share Based Awards consists of RSUs awarded under the RSU Plan, and the remaining 60% consists of PSUs awarded under the PSU Plan. The</x:v>
      </x:c>
    </x:row>
    <x:row r="101" ht="48" customHeight="1">
      <x:c r="A101" s="2" t="str">
        <x:v>38ae97541b0ad1fe15e8</x:v>
      </x:c>
      <x:c r="B101" s="2" t="str">
        <x:v>Interfor Corporation</x:v>
      </x:c>
      <x:c r="C101" s="2" t="str">
        <x:v>S. Bruce Luxmoore</x:v>
      </x:c>
      <x:c r="D101" s="16" t="d">
        <x:v>2025-12-31T12:00:00.000Z</x:v>
      </x:c>
      <x:c r="E101" s="2" t="str">
        <x:v>other</x:v>
      </x:c>
      <x:c r="F101" s="15" t="str">
        <x:v>All Other Compensation(5)</x:v>
      </x:c>
      <x:c r="G101" s="2" t="str">
        <x:v>199,751</x:v>
      </x:c>
      <x:c r="H101" s="12" t="n">
        <x:v>199751</x:v>
      </x:c>
      <x:c r="I101" s="13" t="str">
        <x:v>CAD</x:v>
      </x:c>
      <x:c r="J101" s="13" t="n">
        <x:v>1</x:v>
      </x:c>
      <x:c r="K101" s="14" t="n">
        <x:v>1</x:v>
      </x:c>
      <x:c r="L101" s="10" t="n">
        <x:f>IF(AND(ISNUMBER(H101),ISNUMBER(J101),ISNUMBER(K101)),H101*J101*K101,"")</x:f>
        <x:v>199751</x:v>
      </x:c>
      <x:c r="M101" s="2" t="str">
        <x:v>reported</x:v>
      </x:c>
      <x:c r="N101" s="2" t="str">
        <x:v>No</x:v>
      </x:c>
      <x:c r="O101" s="17"/>
      <x:c r="P101" s="15" t="str"/>
      <x:c r="Q101" s="16" t="d">
        <x:v>2026-03-17T12:00:00.000Z</x:v>
      </x:c>
      <x:c r="R101" s="15" t="str">
        <x:v>Summary Compensation Table</x:v>
      </x:c>
      <x:c r="S101" s="2" t="n">
        <x:v>54</x:v>
      </x:c>
      <x:c r="T101" s="15" t="str">
        <x:v>interfor_circular.pdf</x:v>
      </x:c>
      <x:c r="U101" s="15" t="str">
        <x:v>https://interfor.com/wp-content/uploads/2026/03/Information-Circular.pdf</x:v>
      </x:c>
      <x:c r="V101" s="15" t="str">
        <x:v>62f51d3625c51cfac54e4777b67a1bfbaa6e39bc401662ebdd3ed347167ab3ab</x:v>
      </x:c>
      <x:c r="W101" s="15" t="str">
        <x:v>PDF pp.54-55, SCT notes (1)-(9). Awards are grant-date fair values. Some US employees already translated to CAD by issuer; do not reconvert.</x:v>
      </x:c>
      <x:c r="X101" s="15" t="str">
        <x:v>Reported table value; no award revaluation or reconstruction.</x:v>
      </x:c>
      <x:c r="Y101" s="15" t="str"/>
      <x:c r="Z101" s="2"/>
      <x:c r="AA101" s="2" t="str">
        <x:v>interfor</x:v>
      </x:c>
      <x:c r="AB101" s="2" t="n">
        <x:v>54</x:v>
      </x:c>
      <x:c r="AC101" s="2" t="n">
        <x:v>58</x:v>
      </x:c>
      <x:c r="AD101" s="15" t="str">
        <x:v>amounts shown for RSU awards represents the fair value of the award at grant date. The fair value of the RSU awards were calculated by multiplying the</x:v>
      </x:c>
    </x:row>
    <x:row r="102" ht="48" customHeight="1">
      <x:c r="A102" s="2" t="str">
        <x:v>ea492de515aa1b63db77</x:v>
      </x:c>
      <x:c r="B102" s="2" t="str">
        <x:v>Interfor Corporation</x:v>
      </x:c>
      <x:c r="C102" s="2" t="str">
        <x:v>Richard A. Pozzebon</x:v>
      </x:c>
      <x:c r="D102" s="16" t="d">
        <x:v>2025-12-31T12:00:00.000Z</x:v>
      </x:c>
      <x:c r="E102" s="2" t="str">
        <x:v>total</x:v>
      </x:c>
      <x:c r="F102" s="15" t="str">
        <x:v>Total Compensation(6)</x:v>
      </x:c>
      <x:c r="G102" s="2" t="str">
        <x:v>1,373,466</x:v>
      </x:c>
      <x:c r="H102" s="12" t="n">
        <x:v>1373466</x:v>
      </x:c>
      <x:c r="I102" s="13" t="str">
        <x:v>CAD</x:v>
      </x:c>
      <x:c r="J102" s="13" t="n">
        <x:v>1</x:v>
      </x:c>
      <x:c r="K102" s="14" t="n">
        <x:v>1</x:v>
      </x:c>
      <x:c r="L102" s="10" t="n">
        <x:f>IF(AND(ISNUMBER(H102),ISNUMBER(J102),ISNUMBER(K102)),H102*J102*K102,"")</x:f>
        <x:v>1373466</x:v>
      </x:c>
      <x:c r="M102" s="2" t="str">
        <x:v>reported</x:v>
      </x:c>
      <x:c r="N102" s="2" t="str">
        <x:v>No</x:v>
      </x:c>
      <x:c r="O102" s="17"/>
      <x:c r="P102" s="15" t="str"/>
      <x:c r="Q102" s="16" t="d">
        <x:v>2026-03-17T12:00:00.000Z</x:v>
      </x:c>
      <x:c r="R102" s="15" t="str">
        <x:v>Summary Compensation Table</x:v>
      </x:c>
      <x:c r="S102" s="2" t="n">
        <x:v>54</x:v>
      </x:c>
      <x:c r="T102" s="15" t="str">
        <x:v>interfor_circular.pdf</x:v>
      </x:c>
      <x:c r="U102" s="15" t="str">
        <x:v>https://interfor.com/wp-content/uploads/2026/03/Information-Circular.pdf</x:v>
      </x:c>
      <x:c r="V102" s="15" t="str">
        <x:v>62f51d3625c51cfac54e4777b67a1bfbaa6e39bc401662ebdd3ed347167ab3ab</x:v>
      </x:c>
      <x:c r="W102" s="15" t="str">
        <x:v>PDF pp.54-55, SCT notes (1)-(9). Awards are grant-date fair values. Some US employees already translated to CAD by issuer; do not reconvert.</x:v>
      </x:c>
      <x:c r="X102" s="15" t="str">
        <x:v>Reported table value; no award revaluation or reconstruction.</x:v>
      </x:c>
      <x:c r="Y102" s="15" t="str"/>
      <x:c r="Z102" s="2"/>
      <x:c r="AA102" s="2" t="str">
        <x:v>interfor</x:v>
      </x:c>
      <x:c r="AB102" s="2" t="n">
        <x:v>54</x:v>
      </x:c>
      <x:c r="AC102" s="2" t="n">
        <x:v>59</x:v>
      </x:c>
      <x:c r="AD102" s="15" t="str">
        <x:v>number of RSUs granted by their grant date Market Value. This is also the accounting fair value. The fair value of the RSUs on grant date does not represent</x:v>
      </x:c>
    </x:row>
    <x:row r="103" ht="48" customHeight="1">
      <x:c r="A103" s="2" t="str">
        <x:v>ea492de515aa1b63db77</x:v>
      </x:c>
      <x:c r="B103" s="2" t="str">
        <x:v>Interfor Corporation</x:v>
      </x:c>
      <x:c r="C103" s="2" t="str">
        <x:v>Richard A. Pozzebon</x:v>
      </x:c>
      <x:c r="D103" s="16" t="d">
        <x:v>2025-12-31T12:00:00.000Z</x:v>
      </x:c>
      <x:c r="E103" s="2" t="str">
        <x:v>salary</x:v>
      </x:c>
      <x:c r="F103" s="15" t="str">
        <x:v>Salary</x:v>
      </x:c>
      <x:c r="G103" s="2" t="str">
        <x:v>566,924</x:v>
      </x:c>
      <x:c r="H103" s="12" t="n">
        <x:v>566924</x:v>
      </x:c>
      <x:c r="I103" s="13" t="str">
        <x:v>CAD</x:v>
      </x:c>
      <x:c r="J103" s="13" t="n">
        <x:v>1</x:v>
      </x:c>
      <x:c r="K103" s="14" t="n">
        <x:v>1</x:v>
      </x:c>
      <x:c r="L103" s="10" t="n">
        <x:f>IF(AND(ISNUMBER(H103),ISNUMBER(J103),ISNUMBER(K103)),H103*J103*K103,"")</x:f>
        <x:v>566924</x:v>
      </x:c>
      <x:c r="M103" s="2" t="str">
        <x:v>reported</x:v>
      </x:c>
      <x:c r="N103" s="2" t="str">
        <x:v>No</x:v>
      </x:c>
      <x:c r="O103" s="17"/>
      <x:c r="P103" s="15" t="str"/>
      <x:c r="Q103" s="16" t="d">
        <x:v>2026-03-17T12:00:00.000Z</x:v>
      </x:c>
      <x:c r="R103" s="15" t="str">
        <x:v>Summary Compensation Table</x:v>
      </x:c>
      <x:c r="S103" s="2" t="n">
        <x:v>54</x:v>
      </x:c>
      <x:c r="T103" s="15" t="str">
        <x:v>interfor_circular.pdf</x:v>
      </x:c>
      <x:c r="U103" s="15" t="str">
        <x:v>https://interfor.com/wp-content/uploads/2026/03/Information-Circular.pdf</x:v>
      </x:c>
      <x:c r="V103" s="15" t="str">
        <x:v>62f51d3625c51cfac54e4777b67a1bfbaa6e39bc401662ebdd3ed347167ab3ab</x:v>
      </x:c>
      <x:c r="W103" s="15" t="str">
        <x:v>PDF pp.54-55, SCT notes (1)-(9). Awards are grant-date fair values. Some US employees already translated to CAD by issuer; do not reconvert.</x:v>
      </x:c>
      <x:c r="X103" s="15" t="str">
        <x:v>Reported table value; no award revaluation or reconstruction.</x:v>
      </x:c>
      <x:c r="Y103" s="15" t="str"/>
      <x:c r="Z103" s="2"/>
      <x:c r="AA103" s="2" t="str">
        <x:v>interfor</x:v>
      </x:c>
      <x:c r="AB103" s="2" t="n">
        <x:v>54</x:v>
      </x:c>
      <x:c r="AC103" s="2" t="n">
        <x:v>60</x:v>
      </x:c>
      <x:c r="AD103" s="15" t="str">
        <x:v>the actual value of the payout which will be received on the vesting date of the RSUs.</x:v>
      </x:c>
    </x:row>
    <x:row r="104" ht="48" customHeight="1">
      <x:c r="A104" s="2" t="str">
        <x:v>ea492de515aa1b63db77</x:v>
      </x:c>
      <x:c r="B104" s="2" t="str">
        <x:v>Interfor Corporation</x:v>
      </x:c>
      <x:c r="C104" s="2" t="str">
        <x:v>Richard A. Pozzebon</x:v>
      </x:c>
      <x:c r="D104" s="16" t="d">
        <x:v>2025-12-31T12:00:00.000Z</x:v>
      </x:c>
      <x:c r="E104" s="2" t="str">
        <x:v>share_awards</x:v>
      </x:c>
      <x:c r="F104" s="15" t="str">
        <x:v>Share Based Awards (1)(2)</x:v>
      </x:c>
      <x:c r="G104" s="2" t="str">
        <x:v>678,920</x:v>
      </x:c>
      <x:c r="H104" s="12" t="n">
        <x:v>678920</x:v>
      </x:c>
      <x:c r="I104" s="13" t="str">
        <x:v>CAD</x:v>
      </x:c>
      <x:c r="J104" s="13" t="n">
        <x:v>1</x:v>
      </x:c>
      <x:c r="K104" s="14" t="n">
        <x:v>1</x:v>
      </x:c>
      <x:c r="L104" s="10" t="n">
        <x:f>IF(AND(ISNUMBER(H104),ISNUMBER(J104),ISNUMBER(K104)),H104*J104*K104,"")</x:f>
        <x:v>678920</x:v>
      </x:c>
      <x:c r="M104" s="2" t="str">
        <x:v>reported</x:v>
      </x:c>
      <x:c r="N104" s="2" t="str">
        <x:v>No</x:v>
      </x:c>
      <x:c r="O104" s="17"/>
      <x:c r="P104" s="15" t="str"/>
      <x:c r="Q104" s="16" t="d">
        <x:v>2026-03-17T12:00:00.000Z</x:v>
      </x:c>
      <x:c r="R104" s="15" t="str">
        <x:v>Summary Compensation Table</x:v>
      </x:c>
      <x:c r="S104" s="2" t="n">
        <x:v>54</x:v>
      </x:c>
      <x:c r="T104" s="15" t="str">
        <x:v>interfor_circular.pdf</x:v>
      </x:c>
      <x:c r="U104" s="15" t="str">
        <x:v>https://interfor.com/wp-content/uploads/2026/03/Information-Circular.pdf</x:v>
      </x:c>
      <x:c r="V104" s="15" t="str">
        <x:v>62f51d3625c51cfac54e4777b67a1bfbaa6e39bc401662ebdd3ed347167ab3ab</x:v>
      </x:c>
      <x:c r="W104" s="15" t="str">
        <x:v>PDF pp.54-55, SCT notes (1)-(9). Awards are grant-date fair values. Some US employees already translated to CAD by issuer; do not reconvert.</x:v>
      </x:c>
      <x:c r="X104" s="15" t="str">
        <x:v>Reported table value; no award revaluation or reconstruction.</x:v>
      </x:c>
      <x:c r="Y104" s="15" t="str"/>
      <x:c r="Z104" s="2"/>
      <x:c r="AA104" s="2" t="str">
        <x:v>interfor</x:v>
      </x:c>
      <x:c r="AB104" s="2" t="n">
        <x:v>54</x:v>
      </x:c>
      <x:c r="AC104" s="2" t="n">
        <x:v>61</x:v>
      </x:c>
      <x:c r="AD104" s="15" t="str">
        <x:v>(3) Annual Incentive Plans reflect STIP awards made to the Named Executive Officers.</x:v>
      </x:c>
    </x:row>
    <x:row r="105" ht="48" customHeight="1">
      <x:c r="A105" s="2" t="str">
        <x:v>ea492de515aa1b63db77</x:v>
      </x:c>
      <x:c r="B105" s="2" t="str">
        <x:v>Interfor Corporation</x:v>
      </x:c>
      <x:c r="C105" s="2" t="str">
        <x:v>Richard A. Pozzebon</x:v>
      </x:c>
      <x:c r="D105" s="16" t="d">
        <x:v>2025-12-31T12:00:00.000Z</x:v>
      </x:c>
      <x:c r="E105" s="2" t="str">
        <x:v>option_awards</x:v>
      </x:c>
      <x:c r="F105" s="15" t="str">
        <x:v>Option Based Awards</x:v>
      </x:c>
      <x:c r="G105" s="2" t="str">
        <x:v>-</x:v>
      </x:c>
      <x:c r="H105" s="12"/>
      <x:c r="I105" s="13" t="str">
        <x:v>CAD</x:v>
      </x:c>
      <x:c r="J105" s="13" t="n">
        <x:v>1</x:v>
      </x:c>
      <x:c r="K105" s="14"/>
      <x:c r="L105" s="10" t="str">
        <x:f>IF(AND(ISNUMBER(H105),ISNUMBER(J105),ISNUMBER(K105)),H105*J105*K105,"")</x:f>
      </x:c>
      <x:c r="M105" s="2" t="str">
        <x:v>uncertain</x:v>
      </x:c>
      <x:c r="N105" s="2" t="str">
        <x:v>No</x:v>
      </x:c>
      <x:c r="O105" s="17"/>
      <x:c r="P105" s="15" t="str"/>
      <x:c r="Q105" s="16" t="d">
        <x:v>2026-03-17T12:00:00.000Z</x:v>
      </x:c>
      <x:c r="R105" s="15" t="str">
        <x:v>Summary Compensation Table</x:v>
      </x:c>
      <x:c r="S105" s="2" t="n">
        <x:v>54</x:v>
      </x:c>
      <x:c r="T105" s="15" t="str">
        <x:v>interfor_circular.pdf</x:v>
      </x:c>
      <x:c r="U105" s="15" t="str">
        <x:v>https://interfor.com/wp-content/uploads/2026/03/Information-Circular.pdf</x:v>
      </x:c>
      <x:c r="V105" s="15" t="str">
        <x:v>62f51d3625c51cfac54e4777b67a1bfbaa6e39bc401662ebdd3ed347167ab3ab</x:v>
      </x:c>
      <x:c r="W105" s="15" t="str">
        <x:v>PDF pp.54-55, SCT notes (1)-(9). Awards are grant-date fair values. Some US employees already translated to CAD by issuer; do not reconvert.</x:v>
      </x:c>
      <x:c r="X105" s="15" t="str">
        <x:v>Reported table value; no award revaluation or reconstruction.</x:v>
      </x:c>
      <x:c r="Y105" s="15" t="str">
        <x:v>Source dash has no verified numeric meaning</x:v>
      </x:c>
      <x:c r="Z105" s="2"/>
      <x:c r="AA105" s="2" t="str">
        <x:v>interfor</x:v>
      </x:c>
      <x:c r="AB105" s="2" t="n">
        <x:v>54</x:v>
      </x:c>
      <x:c r="AC105" s="2" t="n">
        <x:v>62</x:v>
      </x:c>
      <x:c r="AD105" s="15" t="str">
        <x:v>(4) Pension Value amounts include Company contributions to the SERP Plan (defined hereafter).</x:v>
      </x:c>
    </x:row>
    <x:row r="106" ht="48" customHeight="1">
      <x:c r="A106" s="2" t="str">
        <x:v>ea492de515aa1b63db77</x:v>
      </x:c>
      <x:c r="B106" s="2" t="str">
        <x:v>Interfor Corporation</x:v>
      </x:c>
      <x:c r="C106" s="2" t="str">
        <x:v>Richard A. Pozzebon</x:v>
      </x:c>
      <x:c r="D106" s="16" t="d">
        <x:v>2025-12-31T12:00:00.000Z</x:v>
      </x:c>
      <x:c r="E106" s="2" t="str">
        <x:v>annual_incentive</x:v>
      </x:c>
      <x:c r="F106" s="15" t="str">
        <x:v>Non-Equity Incentive Plan Compensation - Annual Incentive Plans(3)</x:v>
      </x:c>
      <x:c r="G106" s="2" t="str">
        <x:v>-</x:v>
      </x:c>
      <x:c r="H106" s="12"/>
      <x:c r="I106" s="13" t="str">
        <x:v>CAD</x:v>
      </x:c>
      <x:c r="J106" s="13" t="n">
        <x:v>1</x:v>
      </x:c>
      <x:c r="K106" s="14"/>
      <x:c r="L106" s="10" t="str">
        <x:f>IF(AND(ISNUMBER(H106),ISNUMBER(J106),ISNUMBER(K106)),H106*J106*K106,"")</x:f>
      </x:c>
      <x:c r="M106" s="2" t="str">
        <x:v>uncertain</x:v>
      </x:c>
      <x:c r="N106" s="2" t="str">
        <x:v>No</x:v>
      </x:c>
      <x:c r="O106" s="17"/>
      <x:c r="P106" s="15" t="str"/>
      <x:c r="Q106" s="16" t="d">
        <x:v>2026-03-17T12:00:00.000Z</x:v>
      </x:c>
      <x:c r="R106" s="15" t="str">
        <x:v>Summary Compensation Table</x:v>
      </x:c>
      <x:c r="S106" s="2" t="n">
        <x:v>54</x:v>
      </x:c>
      <x:c r="T106" s="15" t="str">
        <x:v>interfor_circular.pdf</x:v>
      </x:c>
      <x:c r="U106" s="15" t="str">
        <x:v>https://interfor.com/wp-content/uploads/2026/03/Information-Circular.pdf</x:v>
      </x:c>
      <x:c r="V106" s="15" t="str">
        <x:v>62f51d3625c51cfac54e4777b67a1bfbaa6e39bc401662ebdd3ed347167ab3ab</x:v>
      </x:c>
      <x:c r="W106" s="15" t="str">
        <x:v>PDF pp.54-55, SCT notes (1)-(9). Awards are grant-date fair values. Some US employees already translated to CAD by issuer; do not reconvert.</x:v>
      </x:c>
      <x:c r="X106" s="15" t="str">
        <x:v>Annual short-term incentive heading; direct mapping, no long-term amounts combined.</x:v>
      </x:c>
      <x:c r="Y106" s="15" t="str">
        <x:v>Source dash has no verified numeric meaning</x:v>
      </x:c>
      <x:c r="Z106" s="2"/>
      <x:c r="AA106" s="2" t="str">
        <x:v>interfor</x:v>
      </x:c>
      <x:c r="AB106" s="2" t="n">
        <x:v>54</x:v>
      </x:c>
      <x:c r="AC106" s="2" t="n">
        <x:v>63</x:v>
      </x:c>
      <x:c r="AD106" s="15" t="str">
        <x:v>(5) All Other Compensation includes Company contributions to the DPSP (defined hereafter) for Canadian-based Named Executive Officers and Company</x:v>
      </x:c>
    </x:row>
    <x:row r="107" ht="48" customHeight="1">
      <x:c r="A107" s="2" t="str">
        <x:v>ea492de515aa1b63db77</x:v>
      </x:c>
      <x:c r="B107" s="2" t="str">
        <x:v>Interfor Corporation</x:v>
      </x:c>
      <x:c r="C107" s="2" t="str">
        <x:v>Richard A. Pozzebon</x:v>
      </x:c>
      <x:c r="D107" s="16" t="d">
        <x:v>2025-12-31T12:00:00.000Z</x:v>
      </x:c>
      <x:c r="E107" s="2" t="str">
        <x:v>long_term_incentive</x:v>
      </x:c>
      <x:c r="F107" s="15" t="str">
        <x:v>Non-Equity Incentive Plan Compensation - Long-term Incentive Plans</x:v>
      </x:c>
      <x:c r="G107" s="2" t="str">
        <x:v>-</x:v>
      </x:c>
      <x:c r="H107" s="12"/>
      <x:c r="I107" s="13" t="str">
        <x:v>CAD</x:v>
      </x:c>
      <x:c r="J107" s="13" t="n">
        <x:v>1</x:v>
      </x:c>
      <x:c r="K107" s="14"/>
      <x:c r="L107" s="10" t="str">
        <x:f>IF(AND(ISNUMBER(H107),ISNUMBER(J107),ISNUMBER(K107)),H107*J107*K107,"")</x:f>
      </x:c>
      <x:c r="M107" s="2" t="str">
        <x:v>uncertain</x:v>
      </x:c>
      <x:c r="N107" s="2" t="str">
        <x:v>No</x:v>
      </x:c>
      <x:c r="O107" s="17"/>
      <x:c r="P107" s="15" t="str"/>
      <x:c r="Q107" s="16" t="d">
        <x:v>2026-03-17T12:00:00.000Z</x:v>
      </x:c>
      <x:c r="R107" s="15" t="str">
        <x:v>Summary Compensation Table</x:v>
      </x:c>
      <x:c r="S107" s="2" t="n">
        <x:v>54</x:v>
      </x:c>
      <x:c r="T107" s="15" t="str">
        <x:v>interfor_circular.pdf</x:v>
      </x:c>
      <x:c r="U107" s="15" t="str">
        <x:v>https://interfor.com/wp-content/uploads/2026/03/Information-Circular.pdf</x:v>
      </x:c>
      <x:c r="V107" s="15" t="str">
        <x:v>62f51d3625c51cfac54e4777b67a1bfbaa6e39bc401662ebdd3ed347167ab3ab</x:v>
      </x:c>
      <x:c r="W107" s="15" t="str">
        <x:v>PDF pp.54-55, SCT notes (1)-(9). Awards are grant-date fair values. Some US employees already translated to CAD by issuer; do not reconvert.</x:v>
      </x:c>
      <x:c r="X107" s="15" t="str">
        <x:v>Reported table value; no award revaluation or reconstruction.</x:v>
      </x:c>
      <x:c r="Y107" s="15" t="str">
        <x:v>Source dash has no verified numeric meaning</x:v>
      </x:c>
      <x:c r="Z107" s="2"/>
      <x:c r="AA107" s="2" t="str">
        <x:v>interfor</x:v>
      </x:c>
      <x:c r="AB107" s="2" t="n">
        <x:v>54</x:v>
      </x:c>
      <x:c r="AC107" s="2" t="n">
        <x:v>64</x:v>
      </x:c>
      <x:c r="AD107" s="15" t="str">
        <x:v>contributions to the 401(k) for US-based Named Executive Officers. In addition, it includes Company contributions to the ESPP, in which Named Executive</x:v>
      </x:c>
    </x:row>
    <x:row r="108" ht="48" customHeight="1">
      <x:c r="A108" s="2" t="str">
        <x:v>ea492de515aa1b63db77</x:v>
      </x:c>
      <x:c r="B108" s="2" t="str">
        <x:v>Interfor Corporation</x:v>
      </x:c>
      <x:c r="C108" s="2" t="str">
        <x:v>Richard A. Pozzebon</x:v>
      </x:c>
      <x:c r="D108" s="16" t="d">
        <x:v>2025-12-31T12:00:00.000Z</x:v>
      </x:c>
      <x:c r="E108" s="2" t="str">
        <x:v>pension</x:v>
      </x:c>
      <x:c r="F108" s="15" t="str">
        <x:v>Pension Value(4)</x:v>
      </x:c>
      <x:c r="G108" s="2" t="str">
        <x:v>46,219</x:v>
      </x:c>
      <x:c r="H108" s="12" t="n">
        <x:v>46219</x:v>
      </x:c>
      <x:c r="I108" s="13" t="str">
        <x:v>CAD</x:v>
      </x:c>
      <x:c r="J108" s="13" t="n">
        <x:v>1</x:v>
      </x:c>
      <x:c r="K108" s="14" t="n">
        <x:v>1</x:v>
      </x:c>
      <x:c r="L108" s="10" t="n">
        <x:f>IF(AND(ISNUMBER(H108),ISNUMBER(J108),ISNUMBER(K108)),H108*J108*K108,"")</x:f>
        <x:v>46219</x:v>
      </x:c>
      <x:c r="M108" s="2" t="str">
        <x:v>reported</x:v>
      </x:c>
      <x:c r="N108" s="2" t="str">
        <x:v>No</x:v>
      </x:c>
      <x:c r="O108" s="17"/>
      <x:c r="P108" s="15" t="str"/>
      <x:c r="Q108" s="16" t="d">
        <x:v>2026-03-17T12:00:00.000Z</x:v>
      </x:c>
      <x:c r="R108" s="15" t="str">
        <x:v>Summary Compensation Table</x:v>
      </x:c>
      <x:c r="S108" s="2" t="n">
        <x:v>54</x:v>
      </x:c>
      <x:c r="T108" s="15" t="str">
        <x:v>interfor_circular.pdf</x:v>
      </x:c>
      <x:c r="U108" s="15" t="str">
        <x:v>https://interfor.com/wp-content/uploads/2026/03/Information-Circular.pdf</x:v>
      </x:c>
      <x:c r="V108" s="15" t="str">
        <x:v>62f51d3625c51cfac54e4777b67a1bfbaa6e39bc401662ebdd3ed347167ab3ab</x:v>
      </x:c>
      <x:c r="W108" s="15" t="str">
        <x:v>PDF pp.54-55, SCT notes (1)-(9). Awards are grant-date fair values. Some US employees already translated to CAD by issuer; do not reconvert.</x:v>
      </x:c>
      <x:c r="X108" s="15" t="str">
        <x:v>Reported table value; no award revaluation or reconstruction.</x:v>
      </x:c>
      <x:c r="Y108" s="15" t="str"/>
      <x:c r="Z108" s="2"/>
      <x:c r="AA108" s="2" t="str">
        <x:v>interfor</x:v>
      </x:c>
      <x:c r="AB108" s="2" t="n">
        <x:v>54</x:v>
      </x:c>
      <x:c r="AC108" s="2" t="n">
        <x:v>65</x:v>
      </x:c>
      <x:c r="AD108" s="15" t="str">
        <x:v>Officers participate on the same terms as other employees. Also included are perquisites, insurance premiums and other personal benefits provided to a</x:v>
      </x:c>
    </x:row>
    <x:row r="109" ht="48" customHeight="1">
      <x:c r="A109" s="2" t="str">
        <x:v>ea492de515aa1b63db77</x:v>
      </x:c>
      <x:c r="B109" s="2" t="str">
        <x:v>Interfor Corporation</x:v>
      </x:c>
      <x:c r="C109" s="2" t="str">
        <x:v>Richard A. Pozzebon</x:v>
      </x:c>
      <x:c r="D109" s="16" t="d">
        <x:v>2025-12-31T12:00:00.000Z</x:v>
      </x:c>
      <x:c r="E109" s="2" t="str">
        <x:v>other</x:v>
      </x:c>
      <x:c r="F109" s="15" t="str">
        <x:v>All Other Compensation(5)</x:v>
      </x:c>
      <x:c r="G109" s="2" t="str">
        <x:v>81,403</x:v>
      </x:c>
      <x:c r="H109" s="12" t="n">
        <x:v>81403</x:v>
      </x:c>
      <x:c r="I109" s="13" t="str">
        <x:v>CAD</x:v>
      </x:c>
      <x:c r="J109" s="13" t="n">
        <x:v>1</x:v>
      </x:c>
      <x:c r="K109" s="14" t="n">
        <x:v>1</x:v>
      </x:c>
      <x:c r="L109" s="10" t="n">
        <x:f>IF(AND(ISNUMBER(H109),ISNUMBER(J109),ISNUMBER(K109)),H109*J109*K109,"")</x:f>
        <x:v>81403</x:v>
      </x:c>
      <x:c r="M109" s="2" t="str">
        <x:v>reported</x:v>
      </x:c>
      <x:c r="N109" s="2" t="str">
        <x:v>No</x:v>
      </x:c>
      <x:c r="O109" s="17"/>
      <x:c r="P109" s="15" t="str"/>
      <x:c r="Q109" s="16" t="d">
        <x:v>2026-03-17T12:00:00.000Z</x:v>
      </x:c>
      <x:c r="R109" s="15" t="str">
        <x:v>Summary Compensation Table</x:v>
      </x:c>
      <x:c r="S109" s="2" t="n">
        <x:v>54</x:v>
      </x:c>
      <x:c r="T109" s="15" t="str">
        <x:v>interfor_circular.pdf</x:v>
      </x:c>
      <x:c r="U109" s="15" t="str">
        <x:v>https://interfor.com/wp-content/uploads/2026/03/Information-Circular.pdf</x:v>
      </x:c>
      <x:c r="V109" s="15" t="str">
        <x:v>62f51d3625c51cfac54e4777b67a1bfbaa6e39bc401662ebdd3ed347167ab3ab</x:v>
      </x:c>
      <x:c r="W109" s="15" t="str">
        <x:v>PDF pp.54-55, SCT notes (1)-(9). Awards are grant-date fair values. Some US employees already translated to CAD by issuer; do not reconvert.</x:v>
      </x:c>
      <x:c r="X109" s="15" t="str">
        <x:v>Reported table value; no award revaluation or reconstruction.</x:v>
      </x:c>
      <x:c r="Y109" s="15" t="str"/>
      <x:c r="Z109" s="2"/>
      <x:c r="AA109" s="2" t="str">
        <x:v>interfor</x:v>
      </x:c>
      <x:c r="AB109" s="2" t="n">
        <x:v>54</x:v>
      </x:c>
      <x:c r="AC109" s="2" t="n">
        <x:v>66</x:v>
      </x:c>
      <x:c r="AD109" s="15" t="str">
        <x:v>Named Executive Officer that are not generally available to all employees.</x:v>
      </x:c>
    </x:row>
    <x:row r="110" ht="48" customHeight="1">
      <x:c r="A110" s="2" t="str">
        <x:v>973f71fb94c6c60d28f3</x:v>
      </x:c>
      <x:c r="B110" s="2" t="str">
        <x:v>Interfor Corporation</x:v>
      </x:c>
      <x:c r="C110" s="2" t="str">
        <x:v>Timothy P. Hartnett</x:v>
      </x:c>
      <x:c r="D110" s="16" t="d">
        <x:v>2025-12-31T12:00:00.000Z</x:v>
      </x:c>
      <x:c r="E110" s="2" t="str">
        <x:v>total</x:v>
      </x:c>
      <x:c r="F110" s="15" t="str">
        <x:v>Total Compensation(6)</x:v>
      </x:c>
      <x:c r="G110" s="2" t="str">
        <x:v>1,229,172</x:v>
      </x:c>
      <x:c r="H110" s="12" t="n">
        <x:v>1229172</x:v>
      </x:c>
      <x:c r="I110" s="13" t="str">
        <x:v>CAD</x:v>
      </x:c>
      <x:c r="J110" s="13" t="n">
        <x:v>1</x:v>
      </x:c>
      <x:c r="K110" s="14" t="n">
        <x:v>1</x:v>
      </x:c>
      <x:c r="L110" s="10" t="n">
        <x:f>IF(AND(ISNUMBER(H110),ISNUMBER(J110),ISNUMBER(K110)),H110*J110*K110,"")</x:f>
        <x:v>1229172</x:v>
      </x:c>
      <x:c r="M110" s="2" t="str">
        <x:v>reported</x:v>
      </x:c>
      <x:c r="N110" s="2" t="str">
        <x:v>No</x:v>
      </x:c>
      <x:c r="O110" s="17"/>
      <x:c r="P110" s="15" t="str"/>
      <x:c r="Q110" s="16" t="d">
        <x:v>2026-03-17T12:00:00.000Z</x:v>
      </x:c>
      <x:c r="R110" s="15" t="str">
        <x:v>Summary Compensation Table</x:v>
      </x:c>
      <x:c r="S110" s="2" t="n">
        <x:v>54</x:v>
      </x:c>
      <x:c r="T110" s="15" t="str">
        <x:v>interfor_circular.pdf</x:v>
      </x:c>
      <x:c r="U110" s="15" t="str">
        <x:v>https://interfor.com/wp-content/uploads/2026/03/Information-Circular.pdf</x:v>
      </x:c>
      <x:c r="V110" s="15" t="str">
        <x:v>62f51d3625c51cfac54e4777b67a1bfbaa6e39bc401662ebdd3ed347167ab3ab</x:v>
      </x:c>
      <x:c r="W110" s="15" t="str">
        <x:v>PDF pp.54-55, SCT notes (1)-(9). Awards are grant-date fair values. Some US employees already translated to CAD by issuer; do not reconvert.</x:v>
      </x:c>
      <x:c r="X110" s="15" t="str">
        <x:v>Reported table value; no award revaluation or reconstruction.</x:v>
      </x:c>
      <x:c r="Y110" s="15" t="str"/>
      <x:c r="Z110" s="2"/>
      <x:c r="AA110" s="2" t="str">
        <x:v>interfor</x:v>
      </x:c>
      <x:c r="AB110" s="2" t="n">
        <x:v>54</x:v>
      </x:c>
      <x:c r="AC110" s="2" t="n">
        <x:v>67</x:v>
      </x:c>
      <x:c r="AD110" s="15" t="str">
        <x:v>(6) Total Compensation represents the sum of the amounts in the other columns. It includes the valuation of share-based and option-based awards which may</x:v>
      </x:c>
    </x:row>
    <x:row r="111" ht="48" customHeight="1">
      <x:c r="A111" s="2" t="str">
        <x:v>973f71fb94c6c60d28f3</x:v>
      </x:c>
      <x:c r="B111" s="2" t="str">
        <x:v>Interfor Corporation</x:v>
      </x:c>
      <x:c r="C111" s="2" t="str">
        <x:v>Timothy P. Hartnett</x:v>
      </x:c>
      <x:c r="D111" s="16" t="d">
        <x:v>2025-12-31T12:00:00.000Z</x:v>
      </x:c>
      <x:c r="E111" s="2" t="str">
        <x:v>salary</x:v>
      </x:c>
      <x:c r="F111" s="15" t="str">
        <x:v>Salary</x:v>
      </x:c>
      <x:c r="G111" s="2" t="str">
        <x:v>602,922</x:v>
      </x:c>
      <x:c r="H111" s="12" t="n">
        <x:v>602922</x:v>
      </x:c>
      <x:c r="I111" s="13" t="str">
        <x:v>CAD</x:v>
      </x:c>
      <x:c r="J111" s="13" t="n">
        <x:v>1</x:v>
      </x:c>
      <x:c r="K111" s="14" t="n">
        <x:v>1</x:v>
      </x:c>
      <x:c r="L111" s="10" t="n">
        <x:f>IF(AND(ISNUMBER(H111),ISNUMBER(J111),ISNUMBER(K111)),H111*J111*K111,"")</x:f>
        <x:v>602922</x:v>
      </x:c>
      <x:c r="M111" s="2" t="str">
        <x:v>reported</x:v>
      </x:c>
      <x:c r="N111" s="2" t="str">
        <x:v>No</x:v>
      </x:c>
      <x:c r="O111" s="17"/>
      <x:c r="P111" s="15" t="str"/>
      <x:c r="Q111" s="16" t="d">
        <x:v>2026-03-17T12:00:00.000Z</x:v>
      </x:c>
      <x:c r="R111" s="15" t="str">
        <x:v>Summary Compensation Table</x:v>
      </x:c>
      <x:c r="S111" s="2" t="n">
        <x:v>54</x:v>
      </x:c>
      <x:c r="T111" s="15" t="str">
        <x:v>interfor_circular.pdf</x:v>
      </x:c>
      <x:c r="U111" s="15" t="str">
        <x:v>https://interfor.com/wp-content/uploads/2026/03/Information-Circular.pdf</x:v>
      </x:c>
      <x:c r="V111" s="15" t="str">
        <x:v>62f51d3625c51cfac54e4777b67a1bfbaa6e39bc401662ebdd3ed347167ab3ab</x:v>
      </x:c>
      <x:c r="W111" s="15" t="str">
        <x:v>PDF pp.54-55, SCT notes (1)-(9). Awards are grant-date fair values. Some US employees already translated to CAD by issuer; do not reconvert.</x:v>
      </x:c>
      <x:c r="X111" s="15" t="str">
        <x:v>Reported table value; no award revaluation or reconstruction.</x:v>
      </x:c>
      <x:c r="Y111" s="15" t="str"/>
      <x:c r="Z111" s="2"/>
      <x:c r="AA111" s="2" t="str">
        <x:v>interfor</x:v>
      </x:c>
      <x:c r="AB111" s="2" t="n">
        <x:v>54</x:v>
      </x:c>
      <x:c r="AC111" s="2" t="n">
        <x:v>68</x:v>
      </x:c>
      <x:c r="AD111" s="15" t="str">
        <x:v>or may not be realized over the life of the awards.</x:v>
      </x:c>
    </x:row>
    <x:row r="112" ht="48" customHeight="1">
      <x:c r="A112" s="2" t="str">
        <x:v>973f71fb94c6c60d28f3</x:v>
      </x:c>
      <x:c r="B112" s="2" t="str">
        <x:v>Interfor Corporation</x:v>
      </x:c>
      <x:c r="C112" s="2" t="str">
        <x:v>Timothy P. Hartnett</x:v>
      </x:c>
      <x:c r="D112" s="16" t="d">
        <x:v>2025-12-31T12:00:00.000Z</x:v>
      </x:c>
      <x:c r="E112" s="2" t="str">
        <x:v>share_awards</x:v>
      </x:c>
      <x:c r="F112" s="15" t="str">
        <x:v>Share Based Awards (1)(2)</x:v>
      </x:c>
      <x:c r="G112" s="2" t="str">
        <x:v>394,428</x:v>
      </x:c>
      <x:c r="H112" s="12" t="n">
        <x:v>394428</x:v>
      </x:c>
      <x:c r="I112" s="13" t="str">
        <x:v>CAD</x:v>
      </x:c>
      <x:c r="J112" s="13" t="n">
        <x:v>1</x:v>
      </x:c>
      <x:c r="K112" s="14" t="n">
        <x:v>1</x:v>
      </x:c>
      <x:c r="L112" s="10" t="n">
        <x:f>IF(AND(ISNUMBER(H112),ISNUMBER(J112),ISNUMBER(K112)),H112*J112*K112,"")</x:f>
        <x:v>394428</x:v>
      </x:c>
      <x:c r="M112" s="2" t="str">
        <x:v>reported</x:v>
      </x:c>
      <x:c r="N112" s="2" t="str">
        <x:v>No</x:v>
      </x:c>
      <x:c r="O112" s="17"/>
      <x:c r="P112" s="15" t="str"/>
      <x:c r="Q112" s="16" t="d">
        <x:v>2026-03-17T12:00:00.000Z</x:v>
      </x:c>
      <x:c r="R112" s="15" t="str">
        <x:v>Summary Compensation Table</x:v>
      </x:c>
      <x:c r="S112" s="2" t="n">
        <x:v>54</x:v>
      </x:c>
      <x:c r="T112" s="15" t="str">
        <x:v>interfor_circular.pdf</x:v>
      </x:c>
      <x:c r="U112" s="15" t="str">
        <x:v>https://interfor.com/wp-content/uploads/2026/03/Information-Circular.pdf</x:v>
      </x:c>
      <x:c r="V112" s="15" t="str">
        <x:v>62f51d3625c51cfac54e4777b67a1bfbaa6e39bc401662ebdd3ed347167ab3ab</x:v>
      </x:c>
      <x:c r="W112" s="15" t="str">
        <x:v>PDF pp.54-55, SCT notes (1)-(9). Awards are grant-date fair values. Some US employees already translated to CAD by issuer; do not reconvert.</x:v>
      </x:c>
      <x:c r="X112" s="15" t="str">
        <x:v>Reported table value; no award revaluation or reconstruction.</x:v>
      </x:c>
      <x:c r="Y112" s="15" t="str"/>
      <x:c r="Z112" s="2"/>
      <x:c r="AA112" s="2" t="str">
        <x:v>interfor</x:v>
      </x:c>
      <x:c r="AB112" s="2" t="n">
        <x:v>54</x:v>
      </x:c>
      <x:c r="AC112" s="2" t="n">
        <x:v>69</x:v>
      </x:c>
      <x:c r="AD112" s="15" t="str">
        <x:v>INTERFOR 2026 53</x:v>
      </x:c>
    </x:row>
    <x:row r="113" ht="48" customHeight="1">
      <x:c r="A113" s="2" t="str">
        <x:v>973f71fb94c6c60d28f3</x:v>
      </x:c>
      <x:c r="B113" s="2" t="str">
        <x:v>Interfor Corporation</x:v>
      </x:c>
      <x:c r="C113" s="2" t="str">
        <x:v>Timothy P. Hartnett</x:v>
      </x:c>
      <x:c r="D113" s="16" t="d">
        <x:v>2025-12-31T12:00:00.000Z</x:v>
      </x:c>
      <x:c r="E113" s="2" t="str">
        <x:v>option_awards</x:v>
      </x:c>
      <x:c r="F113" s="15" t="str">
        <x:v>Option Based Awards</x:v>
      </x:c>
      <x:c r="G113" s="2" t="str">
        <x:v>-</x:v>
      </x:c>
      <x:c r="H113" s="12"/>
      <x:c r="I113" s="13" t="str">
        <x:v>CAD</x:v>
      </x:c>
      <x:c r="J113" s="13" t="n">
        <x:v>1</x:v>
      </x:c>
      <x:c r="K113" s="14"/>
      <x:c r="L113" s="10" t="str">
        <x:f>IF(AND(ISNUMBER(H113),ISNUMBER(J113),ISNUMBER(K113)),H113*J113*K113,"")</x:f>
      </x:c>
      <x:c r="M113" s="2" t="str">
        <x:v>uncertain</x:v>
      </x:c>
      <x:c r="N113" s="2" t="str">
        <x:v>No</x:v>
      </x:c>
      <x:c r="O113" s="17"/>
      <x:c r="P113" s="15" t="str"/>
      <x:c r="Q113" s="16" t="d">
        <x:v>2026-03-17T12:00:00.000Z</x:v>
      </x:c>
      <x:c r="R113" s="15" t="str">
        <x:v>Summary Compensation Table</x:v>
      </x:c>
      <x:c r="S113" s="2" t="n">
        <x:v>54</x:v>
      </x:c>
      <x:c r="T113" s="15" t="str">
        <x:v>interfor_circular.pdf</x:v>
      </x:c>
      <x:c r="U113" s="15" t="str">
        <x:v>https://interfor.com/wp-content/uploads/2026/03/Information-Circular.pdf</x:v>
      </x:c>
      <x:c r="V113" s="15" t="str">
        <x:v>62f51d3625c51cfac54e4777b67a1bfbaa6e39bc401662ebdd3ed347167ab3ab</x:v>
      </x:c>
      <x:c r="W113" s="15" t="str">
        <x:v>PDF pp.54-55, SCT notes (1)-(9). Awards are grant-date fair values. Some US employees already translated to CAD by issuer; do not reconvert.</x:v>
      </x:c>
      <x:c r="X113" s="15" t="str">
        <x:v>Reported table value; no award revaluation or reconstruction.</x:v>
      </x:c>
      <x:c r="Y113" s="15" t="str">
        <x:v>Source dash has no verified numeric meaning</x:v>
      </x:c>
      <x:c r="Z113" s="2"/>
      <x:c r="AA113" s="2" t="str">
        <x:v>interfor</x:v>
      </x:c>
      <x:c r="AB113" s="2" t="n">
        <x:v>54</x:v>
      </x:c>
      <x:c r="AC113" s="2" t="n">
        <x:v>70</x:v>
      </x:c>
      <x:c r="AD113" s="15" t="str">
        <x:v>Information Circular</x:v>
      </x:c>
    </x:row>
    <x:row r="114" ht="48" customHeight="1">
      <x:c r="A114" s="2" t="str">
        <x:v>973f71fb94c6c60d28f3</x:v>
      </x:c>
      <x:c r="B114" s="2" t="str">
        <x:v>Interfor Corporation</x:v>
      </x:c>
      <x:c r="C114" s="2" t="str">
        <x:v>Timothy P. Hartnett</x:v>
      </x:c>
      <x:c r="D114" s="16" t="d">
        <x:v>2025-12-31T12:00:00.000Z</x:v>
      </x:c>
      <x:c r="E114" s="2" t="str">
        <x:v>annual_incentive</x:v>
      </x:c>
      <x:c r="F114" s="15" t="str">
        <x:v>Non-Equity Incentive Plan Compensation - Annual Incentive Plans(3)</x:v>
      </x:c>
      <x:c r="G114" s="2" t="str">
        <x:v>-</x:v>
      </x:c>
      <x:c r="H114" s="12"/>
      <x:c r="I114" s="13" t="str">
        <x:v>CAD</x:v>
      </x:c>
      <x:c r="J114" s="13" t="n">
        <x:v>1</x:v>
      </x:c>
      <x:c r="K114" s="14"/>
      <x:c r="L114" s="10" t="str">
        <x:f>IF(AND(ISNUMBER(H114),ISNUMBER(J114),ISNUMBER(K114)),H114*J114*K114,"")</x:f>
      </x:c>
      <x:c r="M114" s="2" t="str">
        <x:v>uncertain</x:v>
      </x:c>
      <x:c r="N114" s="2" t="str">
        <x:v>No</x:v>
      </x:c>
      <x:c r="O114" s="17"/>
      <x:c r="P114" s="15" t="str"/>
      <x:c r="Q114" s="16" t="d">
        <x:v>2026-03-17T12:00:00.000Z</x:v>
      </x:c>
      <x:c r="R114" s="15" t="str">
        <x:v>Summary Compensation Table</x:v>
      </x:c>
      <x:c r="S114" s="2" t="n">
        <x:v>54</x:v>
      </x:c>
      <x:c r="T114" s="15" t="str">
        <x:v>interfor_circular.pdf</x:v>
      </x:c>
      <x:c r="U114" s="15" t="str">
        <x:v>https://interfor.com/wp-content/uploads/2026/03/Information-Circular.pdf</x:v>
      </x:c>
      <x:c r="V114" s="15" t="str">
        <x:v>62f51d3625c51cfac54e4777b67a1bfbaa6e39bc401662ebdd3ed347167ab3ab</x:v>
      </x:c>
      <x:c r="W114" s="15" t="str">
        <x:v>PDF pp.54-55, SCT notes (1)-(9). Awards are grant-date fair values. Some US employees already translated to CAD by issuer; do not reconvert.</x:v>
      </x:c>
      <x:c r="X114" s="15" t="str">
        <x:v>Annual short-term incentive heading; direct mapping, no long-term amounts combined.</x:v>
      </x:c>
      <x:c r="Y114" s="15" t="str">
        <x:v>Source dash has no verified numeric meaning</x:v>
      </x:c>
      <x:c r="Z114" s="2"/>
      <x:c r="AA114" s="2" t="str">
        <x:v>interfor</x:v>
      </x:c>
      <x:c r="AB114" s="2" t="n">
        <x:v>55</x:v>
      </x:c>
      <x:c r="AC114" s="2" t="n">
        <x:v>1</x:v>
      </x:c>
      <x:c r="AD114" s="15" t="str">
        <x:v>(7) Mr. Luxmoore and Mr. Hartnett’s amounts have been converted from U.S. Dollars to Canadian Dollars using the Bank of Canada average rate for the relevant</x:v>
      </x:c>
    </x:row>
    <x:row r="115" ht="48" customHeight="1">
      <x:c r="A115" s="2" t="str">
        <x:v>973f71fb94c6c60d28f3</x:v>
      </x:c>
      <x:c r="B115" s="2" t="str">
        <x:v>Interfor Corporation</x:v>
      </x:c>
      <x:c r="C115" s="2" t="str">
        <x:v>Timothy P. Hartnett</x:v>
      </x:c>
      <x:c r="D115" s="16" t="d">
        <x:v>2025-12-31T12:00:00.000Z</x:v>
      </x:c>
      <x:c r="E115" s="2" t="str">
        <x:v>long_term_incentive</x:v>
      </x:c>
      <x:c r="F115" s="15" t="str">
        <x:v>Non-Equity Incentive Plan Compensation - Long-term Incentive Plans</x:v>
      </x:c>
      <x:c r="G115" s="2" t="str">
        <x:v>-</x:v>
      </x:c>
      <x:c r="H115" s="12"/>
      <x:c r="I115" s="13" t="str">
        <x:v>CAD</x:v>
      </x:c>
      <x:c r="J115" s="13" t="n">
        <x:v>1</x:v>
      </x:c>
      <x:c r="K115" s="14"/>
      <x:c r="L115" s="10" t="str">
        <x:f>IF(AND(ISNUMBER(H115),ISNUMBER(J115),ISNUMBER(K115)),H115*J115*K115,"")</x:f>
      </x:c>
      <x:c r="M115" s="2" t="str">
        <x:v>uncertain</x:v>
      </x:c>
      <x:c r="N115" s="2" t="str">
        <x:v>No</x:v>
      </x:c>
      <x:c r="O115" s="17"/>
      <x:c r="P115" s="15" t="str"/>
      <x:c r="Q115" s="16" t="d">
        <x:v>2026-03-17T12:00:00.000Z</x:v>
      </x:c>
      <x:c r="R115" s="15" t="str">
        <x:v>Summary Compensation Table</x:v>
      </x:c>
      <x:c r="S115" s="2" t="n">
        <x:v>54</x:v>
      </x:c>
      <x:c r="T115" s="15" t="str">
        <x:v>interfor_circular.pdf</x:v>
      </x:c>
      <x:c r="U115" s="15" t="str">
        <x:v>https://interfor.com/wp-content/uploads/2026/03/Information-Circular.pdf</x:v>
      </x:c>
      <x:c r="V115" s="15" t="str">
        <x:v>62f51d3625c51cfac54e4777b67a1bfbaa6e39bc401662ebdd3ed347167ab3ab</x:v>
      </x:c>
      <x:c r="W115" s="15" t="str">
        <x:v>PDF pp.54-55, SCT notes (1)-(9). Awards are grant-date fair values. Some US employees already translated to CAD by issuer; do not reconvert.</x:v>
      </x:c>
      <x:c r="X115" s="15" t="str">
        <x:v>Reported table value; no award revaluation or reconstruction.</x:v>
      </x:c>
      <x:c r="Y115" s="15" t="str">
        <x:v>Source dash has no verified numeric meaning</x:v>
      </x:c>
      <x:c r="Z115" s="2"/>
      <x:c r="AA115" s="2" t="str">
        <x:v>interfor</x:v>
      </x:c>
      <x:c r="AB115" s="2" t="n">
        <x:v>55</x:v>
      </x:c>
      <x:c r="AC115" s="2" t="n">
        <x:v>2</x:v>
      </x:c>
      <x:c r="AD115" s="15" t="str">
        <x:v>year.</x:v>
      </x:c>
    </x:row>
    <x:row r="116" ht="48" customHeight="1">
      <x:c r="A116" s="2" t="str">
        <x:v>973f71fb94c6c60d28f3</x:v>
      </x:c>
      <x:c r="B116" s="2" t="str">
        <x:v>Interfor Corporation</x:v>
      </x:c>
      <x:c r="C116" s="2" t="str">
        <x:v>Timothy P. Hartnett</x:v>
      </x:c>
      <x:c r="D116" s="16" t="d">
        <x:v>2025-12-31T12:00:00.000Z</x:v>
      </x:c>
      <x:c r="E116" s="2" t="str">
        <x:v>pension</x:v>
      </x:c>
      <x:c r="F116" s="15" t="str">
        <x:v>Pension Value(4)</x:v>
      </x:c>
      <x:c r="G116" s="2" t="str">
        <x:v>35,486</x:v>
      </x:c>
      <x:c r="H116" s="12" t="n">
        <x:v>35486</x:v>
      </x:c>
      <x:c r="I116" s="13" t="str">
        <x:v>CAD</x:v>
      </x:c>
      <x:c r="J116" s="13" t="n">
        <x:v>1</x:v>
      </x:c>
      <x:c r="K116" s="14" t="n">
        <x:v>1</x:v>
      </x:c>
      <x:c r="L116" s="10" t="n">
        <x:f>IF(AND(ISNUMBER(H116),ISNUMBER(J116),ISNUMBER(K116)),H116*J116*K116,"")</x:f>
        <x:v>35486</x:v>
      </x:c>
      <x:c r="M116" s="2" t="str">
        <x:v>reported</x:v>
      </x:c>
      <x:c r="N116" s="2" t="str">
        <x:v>No</x:v>
      </x:c>
      <x:c r="O116" s="17"/>
      <x:c r="P116" s="15" t="str"/>
      <x:c r="Q116" s="16" t="d">
        <x:v>2026-03-17T12:00:00.000Z</x:v>
      </x:c>
      <x:c r="R116" s="15" t="str">
        <x:v>Summary Compensation Table</x:v>
      </x:c>
      <x:c r="S116" s="2" t="n">
        <x:v>54</x:v>
      </x:c>
      <x:c r="T116" s="15" t="str">
        <x:v>interfor_circular.pdf</x:v>
      </x:c>
      <x:c r="U116" s="15" t="str">
        <x:v>https://interfor.com/wp-content/uploads/2026/03/Information-Circular.pdf</x:v>
      </x:c>
      <x:c r="V116" s="15" t="str">
        <x:v>62f51d3625c51cfac54e4777b67a1bfbaa6e39bc401662ebdd3ed347167ab3ab</x:v>
      </x:c>
      <x:c r="W116" s="15" t="str">
        <x:v>PDF pp.54-55, SCT notes (1)-(9). Awards are grant-date fair values. Some US employees already translated to CAD by issuer; do not reconvert.</x:v>
      </x:c>
      <x:c r="X116" s="15" t="str">
        <x:v>Reported table value; no award revaluation or reconstruction.</x:v>
      </x:c>
      <x:c r="Y116" s="15" t="str"/>
      <x:c r="Z116" s="2"/>
      <x:c r="AA116" s="2" t="str">
        <x:v>interfor</x:v>
      </x:c>
      <x:c r="AB116" s="2" t="n">
        <x:v>55</x:v>
      </x:c>
      <x:c r="AC116" s="2" t="n">
        <x:v>3</x:v>
      </x:c>
      <x:c r="AD116" s="15" t="str">
        <x:v>(8) Mr. Pozzebon served as Executive Vice President &amp; Chief Financial Officer through December 8, 2025, at which time he departed the Company. On January 30,</x:v>
      </x:c>
    </x:row>
    <x:row r="117" ht="48" customHeight="1">
      <x:c r="A117" s="2" t="str">
        <x:v>973f71fb94c6c60d28f3</x:v>
      </x:c>
      <x:c r="B117" s="2" t="str">
        <x:v>Interfor Corporation</x:v>
      </x:c>
      <x:c r="C117" s="2" t="str">
        <x:v>Timothy P. Hartnett</x:v>
      </x:c>
      <x:c r="D117" s="16" t="d">
        <x:v>2025-12-31T12:00:00.000Z</x:v>
      </x:c>
      <x:c r="E117" s="2" t="str">
        <x:v>other</x:v>
      </x:c>
      <x:c r="F117" s="15" t="str">
        <x:v>All Other Compensation(5)</x:v>
      </x:c>
      <x:c r="G117" s="2" t="str">
        <x:v>196,335</x:v>
      </x:c>
      <x:c r="H117" s="12" t="n">
        <x:v>196335</x:v>
      </x:c>
      <x:c r="I117" s="13" t="str">
        <x:v>CAD</x:v>
      </x:c>
      <x:c r="J117" s="13" t="n">
        <x:v>1</x:v>
      </x:c>
      <x:c r="K117" s="14" t="n">
        <x:v>1</x:v>
      </x:c>
      <x:c r="L117" s="10" t="n">
        <x:f>IF(AND(ISNUMBER(H117),ISNUMBER(J117),ISNUMBER(K117)),H117*J117*K117,"")</x:f>
        <x:v>196335</x:v>
      </x:c>
      <x:c r="M117" s="2" t="str">
        <x:v>reported</x:v>
      </x:c>
      <x:c r="N117" s="2" t="str">
        <x:v>No</x:v>
      </x:c>
      <x:c r="O117" s="17"/>
      <x:c r="P117" s="15" t="str"/>
      <x:c r="Q117" s="16" t="d">
        <x:v>2026-03-17T12:00:00.000Z</x:v>
      </x:c>
      <x:c r="R117" s="15" t="str">
        <x:v>Summary Compensation Table</x:v>
      </x:c>
      <x:c r="S117" s="2" t="n">
        <x:v>54</x:v>
      </x:c>
      <x:c r="T117" s="15" t="str">
        <x:v>interfor_circular.pdf</x:v>
      </x:c>
      <x:c r="U117" s="15" t="str">
        <x:v>https://interfor.com/wp-content/uploads/2026/03/Information-Circular.pdf</x:v>
      </x:c>
      <x:c r="V117" s="15" t="str">
        <x:v>62f51d3625c51cfac54e4777b67a1bfbaa6e39bc401662ebdd3ed347167ab3ab</x:v>
      </x:c>
      <x:c r="W117" s="15" t="str">
        <x:v>PDF pp.54-55, SCT notes (1)-(9). Awards are grant-date fair values. Some US employees already translated to CAD by issuer; do not reconvert.</x:v>
      </x:c>
      <x:c r="X117" s="15" t="str">
        <x:v>Reported table value; no award revaluation or reconstruction.</x:v>
      </x:c>
      <x:c r="Y117" s="15" t="str"/>
      <x:c r="Z117" s="2"/>
      <x:c r="AA117" s="2" t="str">
        <x:v>interfor</x:v>
      </x:c>
      <x:c r="AB117" s="2" t="n">
        <x:v>55</x:v>
      </x:c>
      <x:c r="AC117" s="2" t="n">
        <x:v>4</x:v>
      </x:c>
      <x:c r="AD117" s="15" t="str">
        <x:v>2026, Mr. Pozzebon received a catch-up payment of $90,842.02 in respect of his salary continuance for the period following his departure up to January 30,</x:v>
      </x:c>
    </x:row>
    <x:row r="118" ht="48" customHeight="1">
      <x:c r="A118" s="2" t="str">
        <x:v>dc7ade367b1f227f2d4b</x:v>
      </x:c>
      <x:c r="B118" s="2" t="str">
        <x:v>Interfor Corporation</x:v>
      </x:c>
      <x:c r="C118" s="2" t="str">
        <x:v>Andrew L. Horahan</x:v>
      </x:c>
      <x:c r="D118" s="16" t="d">
        <x:v>2025-12-31T12:00:00.000Z</x:v>
      </x:c>
      <x:c r="E118" s="2" t="str">
        <x:v>total</x:v>
      </x:c>
      <x:c r="F118" s="15" t="str">
        <x:v>Total Compensation(6)</x:v>
      </x:c>
      <x:c r="G118" s="2" t="str">
        <x:v>1,175,720</x:v>
      </x:c>
      <x:c r="H118" s="12" t="n">
        <x:v>1175720</x:v>
      </x:c>
      <x:c r="I118" s="13" t="str">
        <x:v>CAD</x:v>
      </x:c>
      <x:c r="J118" s="13" t="n">
        <x:v>1</x:v>
      </x:c>
      <x:c r="K118" s="14" t="n">
        <x:v>1</x:v>
      </x:c>
      <x:c r="L118" s="10" t="n">
        <x:f>IF(AND(ISNUMBER(H118),ISNUMBER(J118),ISNUMBER(K118)),H118*J118*K118,"")</x:f>
        <x:v>1175720</x:v>
      </x:c>
      <x:c r="M118" s="2" t="str">
        <x:v>reported</x:v>
      </x:c>
      <x:c r="N118" s="2" t="str">
        <x:v>No</x:v>
      </x:c>
      <x:c r="O118" s="17"/>
      <x:c r="P118" s="15" t="str"/>
      <x:c r="Q118" s="16" t="d">
        <x:v>2026-03-17T12:00:00.000Z</x:v>
      </x:c>
      <x:c r="R118" s="15" t="str">
        <x:v>Summary Compensation Table</x:v>
      </x:c>
      <x:c r="S118" s="2" t="n">
        <x:v>54</x:v>
      </x:c>
      <x:c r="T118" s="15" t="str">
        <x:v>interfor_circular.pdf</x:v>
      </x:c>
      <x:c r="U118" s="15" t="str">
        <x:v>https://interfor.com/wp-content/uploads/2026/03/Information-Circular.pdf</x:v>
      </x:c>
      <x:c r="V118" s="15" t="str">
        <x:v>62f51d3625c51cfac54e4777b67a1bfbaa6e39bc401662ebdd3ed347167ab3ab</x:v>
      </x:c>
      <x:c r="W118" s="15" t="str">
        <x:v>PDF pp.54-55, SCT notes (1)-(9). Awards are grant-date fair values. Some US employees already translated to CAD by issuer; do not reconvert.</x:v>
      </x:c>
      <x:c r="X118" s="15" t="str">
        <x:v>Reported table value; no award revaluation or reconstruction.</x:v>
      </x:c>
      <x:c r="Y118" s="15" t="str"/>
      <x:c r="Z118" s="2"/>
      <x:c r="AA118" s="2" t="str">
        <x:v>interfor</x:v>
      </x:c>
      <x:c r="AB118" s="2" t="n">
        <x:v>55</x:v>
      </x:c>
      <x:c r="AC118" s="2" t="n">
        <x:v>5</x:v>
      </x:c>
      <x:c r="AD118" s="15" t="str">
        <x:v>2026. From February 1, 2026, the remainder of Mr. Pozzebon’s termination benefits will continue to be paid consistent with the terms of his employment</x:v>
      </x:c>
    </x:row>
    <x:row r="119" ht="48" customHeight="1">
      <x:c r="A119" s="2" t="str">
        <x:v>dc7ade367b1f227f2d4b</x:v>
      </x:c>
      <x:c r="B119" s="2" t="str">
        <x:v>Interfor Corporation</x:v>
      </x:c>
      <x:c r="C119" s="2" t="str">
        <x:v>Andrew L. Horahan</x:v>
      </x:c>
      <x:c r="D119" s="16" t="d">
        <x:v>2025-12-31T12:00:00.000Z</x:v>
      </x:c>
      <x:c r="E119" s="2" t="str">
        <x:v>salary</x:v>
      </x:c>
      <x:c r="F119" s="15" t="str">
        <x:v>Salary</x:v>
      </x:c>
      <x:c r="G119" s="2" t="str">
        <x:v>492,453</x:v>
      </x:c>
      <x:c r="H119" s="12" t="n">
        <x:v>492453</x:v>
      </x:c>
      <x:c r="I119" s="13" t="str">
        <x:v>CAD</x:v>
      </x:c>
      <x:c r="J119" s="13" t="n">
        <x:v>1</x:v>
      </x:c>
      <x:c r="K119" s="14" t="n">
        <x:v>1</x:v>
      </x:c>
      <x:c r="L119" s="10" t="n">
        <x:f>IF(AND(ISNUMBER(H119),ISNUMBER(J119),ISNUMBER(K119)),H119*J119*K119,"")</x:f>
        <x:v>492453</x:v>
      </x:c>
      <x:c r="M119" s="2" t="str">
        <x:v>reported</x:v>
      </x:c>
      <x:c r="N119" s="2" t="str">
        <x:v>No</x:v>
      </x:c>
      <x:c r="O119" s="17"/>
      <x:c r="P119" s="15" t="str"/>
      <x:c r="Q119" s="16" t="d">
        <x:v>2026-03-17T12:00:00.000Z</x:v>
      </x:c>
      <x:c r="R119" s="15" t="str">
        <x:v>Summary Compensation Table</x:v>
      </x:c>
      <x:c r="S119" s="2" t="n">
        <x:v>54</x:v>
      </x:c>
      <x:c r="T119" s="15" t="str">
        <x:v>interfor_circular.pdf</x:v>
      </x:c>
      <x:c r="U119" s="15" t="str">
        <x:v>https://interfor.com/wp-content/uploads/2026/03/Information-Circular.pdf</x:v>
      </x:c>
      <x:c r="V119" s="15" t="str">
        <x:v>62f51d3625c51cfac54e4777b67a1bfbaa6e39bc401662ebdd3ed347167ab3ab</x:v>
      </x:c>
      <x:c r="W119" s="15" t="str">
        <x:v>PDF pp.54-55, SCT notes (1)-(9). Awards are grant-date fair values. Some US employees already translated to CAD by issuer; do not reconvert.</x:v>
      </x:c>
      <x:c r="X119" s="15" t="str">
        <x:v>Reported table value; no award revaluation or reconstruction.</x:v>
      </x:c>
      <x:c r="Y119" s="15" t="str"/>
      <x:c r="Z119" s="2"/>
      <x:c r="AA119" s="2" t="str">
        <x:v>interfor</x:v>
      </x:c>
      <x:c r="AB119" s="2" t="n">
        <x:v>55</x:v>
      </x:c>
      <x:c r="AC119" s="2" t="n">
        <x:v>6</x:v>
      </x:c>
      <x:c r="AD119" s="15" t="str">
        <x:v>agreement.</x:v>
      </x:c>
    </x:row>
    <x:row r="120" ht="48" customHeight="1">
      <x:c r="A120" s="2" t="str">
        <x:v>dc7ade367b1f227f2d4b</x:v>
      </x:c>
      <x:c r="B120" s="2" t="str">
        <x:v>Interfor Corporation</x:v>
      </x:c>
      <x:c r="C120" s="2" t="str">
        <x:v>Andrew L. Horahan</x:v>
      </x:c>
      <x:c r="D120" s="16" t="d">
        <x:v>2025-12-31T12:00:00.000Z</x:v>
      </x:c>
      <x:c r="E120" s="2" t="str">
        <x:v>share_awards</x:v>
      </x:c>
      <x:c r="F120" s="15" t="str">
        <x:v>Share Based Awards (1)(2)</x:v>
      </x:c>
      <x:c r="G120" s="2" t="str">
        <x:v>554,662</x:v>
      </x:c>
      <x:c r="H120" s="12" t="n">
        <x:v>554662</x:v>
      </x:c>
      <x:c r="I120" s="13" t="str">
        <x:v>CAD</x:v>
      </x:c>
      <x:c r="J120" s="13" t="n">
        <x:v>1</x:v>
      </x:c>
      <x:c r="K120" s="14" t="n">
        <x:v>1</x:v>
      </x:c>
      <x:c r="L120" s="10" t="n">
        <x:f>IF(AND(ISNUMBER(H120),ISNUMBER(J120),ISNUMBER(K120)),H120*J120*K120,"")</x:f>
        <x:v>554662</x:v>
      </x:c>
      <x:c r="M120" s="2" t="str">
        <x:v>reported</x:v>
      </x:c>
      <x:c r="N120" s="2" t="str">
        <x:v>No</x:v>
      </x:c>
      <x:c r="O120" s="17"/>
      <x:c r="P120" s="15" t="str"/>
      <x:c r="Q120" s="16" t="d">
        <x:v>2026-03-17T12:00:00.000Z</x:v>
      </x:c>
      <x:c r="R120" s="15" t="str">
        <x:v>Summary Compensation Table</x:v>
      </x:c>
      <x:c r="S120" s="2" t="n">
        <x:v>54</x:v>
      </x:c>
      <x:c r="T120" s="15" t="str">
        <x:v>interfor_circular.pdf</x:v>
      </x:c>
      <x:c r="U120" s="15" t="str">
        <x:v>https://interfor.com/wp-content/uploads/2026/03/Information-Circular.pdf</x:v>
      </x:c>
      <x:c r="V120" s="15" t="str">
        <x:v>62f51d3625c51cfac54e4777b67a1bfbaa6e39bc401662ebdd3ed347167ab3ab</x:v>
      </x:c>
      <x:c r="W120" s="15" t="str">
        <x:v>PDF pp.54-55, SCT notes (1)-(9). Awards are grant-date fair values. Some US employees already translated to CAD by issuer; do not reconvert.</x:v>
      </x:c>
      <x:c r="X120" s="15" t="str">
        <x:v>Reported table value; no award revaluation or reconstruction.</x:v>
      </x:c>
      <x:c r="Y120" s="15" t="str"/>
      <x:c r="Z120" s="2"/>
      <x:c r="AA120" s="2" t="str">
        <x:v>interfor</x:v>
      </x:c>
      <x:c r="AB120" s="2" t="n">
        <x:v>55</x:v>
      </x:c>
      <x:c r="AC120" s="2" t="n">
        <x:v>7</x:v>
      </x:c>
      <x:c r="AD120" s="15" t="str">
        <x:v>(9) Mr. Luxmoore served as Executive Vice President, U.S. Operations through December 31, 2025, at which time he departed the Company. In early 2026, Mr.</x:v>
      </x:c>
    </x:row>
    <x:row r="121" ht="48" customHeight="1">
      <x:c r="A121" s="2" t="str">
        <x:v>dc7ade367b1f227f2d4b</x:v>
      </x:c>
      <x:c r="B121" s="2" t="str">
        <x:v>Interfor Corporation</x:v>
      </x:c>
      <x:c r="C121" s="2" t="str">
        <x:v>Andrew L. Horahan</x:v>
      </x:c>
      <x:c r="D121" s="16" t="d">
        <x:v>2025-12-31T12:00:00.000Z</x:v>
      </x:c>
      <x:c r="E121" s="2" t="str">
        <x:v>option_awards</x:v>
      </x:c>
      <x:c r="F121" s="15" t="str">
        <x:v>Option Based Awards</x:v>
      </x:c>
      <x:c r="G121" s="2" t="str">
        <x:v>-</x:v>
      </x:c>
      <x:c r="H121" s="12"/>
      <x:c r="I121" s="13" t="str">
        <x:v>CAD</x:v>
      </x:c>
      <x:c r="J121" s="13" t="n">
        <x:v>1</x:v>
      </x:c>
      <x:c r="K121" s="14"/>
      <x:c r="L121" s="10" t="str">
        <x:f>IF(AND(ISNUMBER(H121),ISNUMBER(J121),ISNUMBER(K121)),H121*J121*K121,"")</x:f>
      </x:c>
      <x:c r="M121" s="2" t="str">
        <x:v>uncertain</x:v>
      </x:c>
      <x:c r="N121" s="2" t="str">
        <x:v>No</x:v>
      </x:c>
      <x:c r="O121" s="17"/>
      <x:c r="P121" s="15" t="str"/>
      <x:c r="Q121" s="16" t="d">
        <x:v>2026-03-17T12:00:00.000Z</x:v>
      </x:c>
      <x:c r="R121" s="15" t="str">
        <x:v>Summary Compensation Table</x:v>
      </x:c>
      <x:c r="S121" s="2" t="n">
        <x:v>54</x:v>
      </x:c>
      <x:c r="T121" s="15" t="str">
        <x:v>interfor_circular.pdf</x:v>
      </x:c>
      <x:c r="U121" s="15" t="str">
        <x:v>https://interfor.com/wp-content/uploads/2026/03/Information-Circular.pdf</x:v>
      </x:c>
      <x:c r="V121" s="15" t="str">
        <x:v>62f51d3625c51cfac54e4777b67a1bfbaa6e39bc401662ebdd3ed347167ab3ab</x:v>
      </x:c>
      <x:c r="W121" s="15" t="str">
        <x:v>PDF pp.54-55, SCT notes (1)-(9). Awards are grant-date fair values. Some US employees already translated to CAD by issuer; do not reconvert.</x:v>
      </x:c>
      <x:c r="X121" s="15" t="str">
        <x:v>Reported table value; no award revaluation or reconstruction.</x:v>
      </x:c>
      <x:c r="Y121" s="15" t="str">
        <x:v>Source dash has no verified numeric meaning</x:v>
      </x:c>
      <x:c r="Z121" s="2"/>
      <x:c r="AA121" s="2" t="str">
        <x:v>interfor</x:v>
      </x:c>
      <x:c r="AB121" s="2" t="n">
        <x:v>55</x:v>
      </x:c>
      <x:c r="AC121" s="2" t="n">
        <x:v>8</x:v>
      </x:c>
      <x:c r="AD121" s="15" t="str">
        <x:v>Luxmoore received a severance payment of US $2,021,659.96 consistent with the terms of his employment agreement.</x:v>
      </x:c>
    </x:row>
    <x:row r="122" ht="48" customHeight="1">
      <x:c r="A122" s="2" t="str">
        <x:v>dc7ade367b1f227f2d4b</x:v>
      </x:c>
      <x:c r="B122" s="2" t="str">
        <x:v>Interfor Corporation</x:v>
      </x:c>
      <x:c r="C122" s="2" t="str">
        <x:v>Andrew L. Horahan</x:v>
      </x:c>
      <x:c r="D122" s="16" t="d">
        <x:v>2025-12-31T12:00:00.000Z</x:v>
      </x:c>
      <x:c r="E122" s="2" t="str">
        <x:v>annual_incentive</x:v>
      </x:c>
      <x:c r="F122" s="15" t="str">
        <x:v>Non-Equity Incentive Plan Compensation - Annual Incentive Plans(3)</x:v>
      </x:c>
      <x:c r="G122" s="2" t="str">
        <x:v>-</x:v>
      </x:c>
      <x:c r="H122" s="12"/>
      <x:c r="I122" s="13" t="str">
        <x:v>CAD</x:v>
      </x:c>
      <x:c r="J122" s="13" t="n">
        <x:v>1</x:v>
      </x:c>
      <x:c r="K122" s="14"/>
      <x:c r="L122" s="10" t="str">
        <x:f>IF(AND(ISNUMBER(H122),ISNUMBER(J122),ISNUMBER(K122)),H122*J122*K122,"")</x:f>
      </x:c>
      <x:c r="M122" s="2" t="str">
        <x:v>uncertain</x:v>
      </x:c>
      <x:c r="N122" s="2" t="str">
        <x:v>No</x:v>
      </x:c>
      <x:c r="O122" s="17"/>
      <x:c r="P122" s="15" t="str"/>
      <x:c r="Q122" s="16" t="d">
        <x:v>2026-03-17T12:00:00.000Z</x:v>
      </x:c>
      <x:c r="R122" s="15" t="str">
        <x:v>Summary Compensation Table</x:v>
      </x:c>
      <x:c r="S122" s="2" t="n">
        <x:v>54</x:v>
      </x:c>
      <x:c r="T122" s="15" t="str">
        <x:v>interfor_circular.pdf</x:v>
      </x:c>
      <x:c r="U122" s="15" t="str">
        <x:v>https://interfor.com/wp-content/uploads/2026/03/Information-Circular.pdf</x:v>
      </x:c>
      <x:c r="V122" s="15" t="str">
        <x:v>62f51d3625c51cfac54e4777b67a1bfbaa6e39bc401662ebdd3ed347167ab3ab</x:v>
      </x:c>
      <x:c r="W122" s="15" t="str">
        <x:v>PDF pp.54-55, SCT notes (1)-(9). Awards are grant-date fair values. Some US employees already translated to CAD by issuer; do not reconvert.</x:v>
      </x:c>
      <x:c r="X122" s="15" t="str">
        <x:v>Annual short-term incentive heading; direct mapping, no long-term amounts combined.</x:v>
      </x:c>
      <x:c r="Y122" s="15" t="str">
        <x:v>Source dash has no verified numeric meaning</x:v>
      </x:c>
      <x:c r="Z122" s="2"/>
      <x:c r="AA122" s="2" t="str">
        <x:v>interfor</x:v>
      </x:c>
      <x:c r="AB122" s="2" t="n">
        <x:v>55</x:v>
      </x:c>
      <x:c r="AC122" s="2" t="n">
        <x:v>9</x:v>
      </x:c>
      <x:c r="AD122" s="15" t="str">
        <x:v>INCENTIVE PLAN AWARDS</x:v>
      </x:c>
    </x:row>
    <x:row r="123" ht="48" customHeight="1">
      <x:c r="A123" s="2" t="str">
        <x:v>dc7ade367b1f227f2d4b</x:v>
      </x:c>
      <x:c r="B123" s="2" t="str">
        <x:v>Interfor Corporation</x:v>
      </x:c>
      <x:c r="C123" s="2" t="str">
        <x:v>Andrew L. Horahan</x:v>
      </x:c>
      <x:c r="D123" s="16" t="d">
        <x:v>2025-12-31T12:00:00.000Z</x:v>
      </x:c>
      <x:c r="E123" s="2" t="str">
        <x:v>long_term_incentive</x:v>
      </x:c>
      <x:c r="F123" s="15" t="str">
        <x:v>Non-Equity Incentive Plan Compensation - Long-term Incentive Plans</x:v>
      </x:c>
      <x:c r="G123" s="2" t="str">
        <x:v>-</x:v>
      </x:c>
      <x:c r="H123" s="12"/>
      <x:c r="I123" s="13" t="str">
        <x:v>CAD</x:v>
      </x:c>
      <x:c r="J123" s="13" t="n">
        <x:v>1</x:v>
      </x:c>
      <x:c r="K123" s="14"/>
      <x:c r="L123" s="10" t="str">
        <x:f>IF(AND(ISNUMBER(H123),ISNUMBER(J123),ISNUMBER(K123)),H123*J123*K123,"")</x:f>
      </x:c>
      <x:c r="M123" s="2" t="str">
        <x:v>uncertain</x:v>
      </x:c>
      <x:c r="N123" s="2" t="str">
        <x:v>No</x:v>
      </x:c>
      <x:c r="O123" s="17"/>
      <x:c r="P123" s="15" t="str"/>
      <x:c r="Q123" s="16" t="d">
        <x:v>2026-03-17T12:00:00.000Z</x:v>
      </x:c>
      <x:c r="R123" s="15" t="str">
        <x:v>Summary Compensation Table</x:v>
      </x:c>
      <x:c r="S123" s="2" t="n">
        <x:v>54</x:v>
      </x:c>
      <x:c r="T123" s="15" t="str">
        <x:v>interfor_circular.pdf</x:v>
      </x:c>
      <x:c r="U123" s="15" t="str">
        <x:v>https://interfor.com/wp-content/uploads/2026/03/Information-Circular.pdf</x:v>
      </x:c>
      <x:c r="V123" s="15" t="str">
        <x:v>62f51d3625c51cfac54e4777b67a1bfbaa6e39bc401662ebdd3ed347167ab3ab</x:v>
      </x:c>
      <x:c r="W123" s="15" t="str">
        <x:v>PDF pp.54-55, SCT notes (1)-(9). Awards are grant-date fair values. Some US employees already translated to CAD by issuer; do not reconvert.</x:v>
      </x:c>
      <x:c r="X123" s="15" t="str">
        <x:v>Reported table value; no award revaluation or reconstruction.</x:v>
      </x:c>
      <x:c r="Y123" s="15" t="str">
        <x:v>Source dash has no verified numeric meaning</x:v>
      </x:c>
      <x:c r="Z123" s="2"/>
      <x:c r="AA123" s="2" t="str">
        <x:v>interfor</x:v>
      </x:c>
      <x:c r="AB123" s="2" t="n">
        <x:v>55</x:v>
      </x:c>
      <x:c r="AC123" s="2" t="n">
        <x:v>10</x:v>
      </x:c>
      <x:c r="AD123" s="15" t="str">
        <x:v>Outstanding Share-Based and Option-Based Awards</x:v>
      </x:c>
    </x:row>
    <x:row r="124" ht="48" customHeight="1">
      <x:c r="A124" s="2" t="str">
        <x:v>dc7ade367b1f227f2d4b</x:v>
      </x:c>
      <x:c r="B124" s="2" t="str">
        <x:v>Interfor Corporation</x:v>
      </x:c>
      <x:c r="C124" s="2" t="str">
        <x:v>Andrew L. Horahan</x:v>
      </x:c>
      <x:c r="D124" s="16" t="d">
        <x:v>2025-12-31T12:00:00.000Z</x:v>
      </x:c>
      <x:c r="E124" s="2" t="str">
        <x:v>pension</x:v>
      </x:c>
      <x:c r="F124" s="15" t="str">
        <x:v>Pension Value(4)</x:v>
      </x:c>
      <x:c r="G124" s="2" t="str">
        <x:v>35,793</x:v>
      </x:c>
      <x:c r="H124" s="12" t="n">
        <x:v>35793</x:v>
      </x:c>
      <x:c r="I124" s="13" t="str">
        <x:v>CAD</x:v>
      </x:c>
      <x:c r="J124" s="13" t="n">
        <x:v>1</x:v>
      </x:c>
      <x:c r="K124" s="14" t="n">
        <x:v>1</x:v>
      </x:c>
      <x:c r="L124" s="10" t="n">
        <x:f>IF(AND(ISNUMBER(H124),ISNUMBER(J124),ISNUMBER(K124)),H124*J124*K124,"")</x:f>
        <x:v>35793</x:v>
      </x:c>
      <x:c r="M124" s="2" t="str">
        <x:v>reported</x:v>
      </x:c>
      <x:c r="N124" s="2" t="str">
        <x:v>No</x:v>
      </x:c>
      <x:c r="O124" s="17"/>
      <x:c r="P124" s="15" t="str"/>
      <x:c r="Q124" s="16" t="d">
        <x:v>2026-03-17T12:00:00.000Z</x:v>
      </x:c>
      <x:c r="R124" s="15" t="str">
        <x:v>Summary Compensation Table</x:v>
      </x:c>
      <x:c r="S124" s="2" t="n">
        <x:v>54</x:v>
      </x:c>
      <x:c r="T124" s="15" t="str">
        <x:v>interfor_circular.pdf</x:v>
      </x:c>
      <x:c r="U124" s="15" t="str">
        <x:v>https://interfor.com/wp-content/uploads/2026/03/Information-Circular.pdf</x:v>
      </x:c>
      <x:c r="V124" s="15" t="str">
        <x:v>62f51d3625c51cfac54e4777b67a1bfbaa6e39bc401662ebdd3ed347167ab3ab</x:v>
      </x:c>
      <x:c r="W124" s="15" t="str">
        <x:v>PDF pp.54-55, SCT notes (1)-(9). Awards are grant-date fair values. Some US employees already translated to CAD by issuer; do not reconvert.</x:v>
      </x:c>
      <x:c r="X124" s="15" t="str">
        <x:v>Reported table value; no award revaluation or reconstruction.</x:v>
      </x:c>
      <x:c r="Y124" s="15" t="str"/>
      <x:c r="Z124" s="2"/>
      <x:c r="AA124" s="2" t="str">
        <x:v>interfor</x:v>
      </x:c>
      <x:c r="AB124" s="2" t="n">
        <x:v>55</x:v>
      </x:c>
      <x:c r="AC124" s="2" t="n">
        <x:v>11</x:v>
      </x:c>
      <x:c r="AD124" s="15" t="str">
        <x:v>The following table sets out for each Named Executive Officer all option-based and share-</x:v>
      </x:c>
    </x:row>
    <x:row r="125" ht="48" customHeight="1">
      <x:c r="A125" s="2" t="str">
        <x:v>dc7ade367b1f227f2d4b</x:v>
      </x:c>
      <x:c r="B125" s="2" t="str">
        <x:v>Interfor Corporation</x:v>
      </x:c>
      <x:c r="C125" s="2" t="str">
        <x:v>Andrew L. Horahan</x:v>
      </x:c>
      <x:c r="D125" s="16" t="d">
        <x:v>2025-12-31T12:00:00.000Z</x:v>
      </x:c>
      <x:c r="E125" s="2" t="str">
        <x:v>other</x:v>
      </x:c>
      <x:c r="F125" s="15" t="str">
        <x:v>All Other Compensation(5)</x:v>
      </x:c>
      <x:c r="G125" s="2" t="str">
        <x:v>92,812</x:v>
      </x:c>
      <x:c r="H125" s="12" t="n">
        <x:v>92812</x:v>
      </x:c>
      <x:c r="I125" s="13" t="str">
        <x:v>CAD</x:v>
      </x:c>
      <x:c r="J125" s="13" t="n">
        <x:v>1</x:v>
      </x:c>
      <x:c r="K125" s="14" t="n">
        <x:v>1</x:v>
      </x:c>
      <x:c r="L125" s="10" t="n">
        <x:f>IF(AND(ISNUMBER(H125),ISNUMBER(J125),ISNUMBER(K125)),H125*J125*K125,"")</x:f>
        <x:v>92812</x:v>
      </x:c>
      <x:c r="M125" s="2" t="str">
        <x:v>reported</x:v>
      </x:c>
      <x:c r="N125" s="2" t="str">
        <x:v>No</x:v>
      </x:c>
      <x:c r="O125" s="17"/>
      <x:c r="P125" s="15" t="str"/>
      <x:c r="Q125" s="16" t="d">
        <x:v>2026-03-17T12:00:00.000Z</x:v>
      </x:c>
      <x:c r="R125" s="15" t="str">
        <x:v>Summary Compensation Table</x:v>
      </x:c>
      <x:c r="S125" s="2" t="n">
        <x:v>54</x:v>
      </x:c>
      <x:c r="T125" s="15" t="str">
        <x:v>interfor_circular.pdf</x:v>
      </x:c>
      <x:c r="U125" s="15" t="str">
        <x:v>https://interfor.com/wp-content/uploads/2026/03/Information-Circular.pdf</x:v>
      </x:c>
      <x:c r="V125" s="15" t="str">
        <x:v>62f51d3625c51cfac54e4777b67a1bfbaa6e39bc401662ebdd3ed347167ab3ab</x:v>
      </x:c>
      <x:c r="W125" s="15" t="str">
        <x:v>PDF pp.54-55, SCT notes (1)-(9). Awards are grant-date fair values. Some US employees already translated to CAD by issuer; do not reconvert.</x:v>
      </x:c>
      <x:c r="X125" s="15" t="str">
        <x:v>Reported table value; no award revaluation or reconstruction.</x:v>
      </x:c>
      <x:c r="Y125" s="15" t="str"/>
      <x:c r="Z125" s="2"/>
      <x:c r="AA125" s="2" t="str">
        <x:v>interfor</x:v>
      </x:c>
      <x:c r="AB125" s="2" t="n">
        <x:v>55</x:v>
      </x:c>
      <x:c r="AC125" s="2" t="n">
        <x:v>12</x:v>
      </x:c>
      <x:c r="AD125" s="15" t="str">
        <x:v>based awards outstanding as at December 31, 2025.</x:v>
      </x:c>
    </x:row>
    <x:row r="126" ht="48" customHeight="1">
      <x:c r="A126" s="2" t="str">
        <x:v>7c2e6907380329680c2e</x:v>
      </x:c>
      <x:c r="B126" s="2" t="str">
        <x:v>Interfor Corporation</x:v>
      </x:c>
      <x:c r="C126" s="2" t="str">
        <x:v>Michael C. Mackay</x:v>
      </x:c>
      <x:c r="D126" s="16" t="d">
        <x:v>2025-12-31T12:00:00.000Z</x:v>
      </x:c>
      <x:c r="E126" s="2" t="str">
        <x:v>total</x:v>
      </x:c>
      <x:c r="F126" s="15" t="str">
        <x:v>Total Compensation(6)</x:v>
      </x:c>
      <x:c r="G126" s="2" t="str">
        <x:v>735,870</x:v>
      </x:c>
      <x:c r="H126" s="12" t="n">
        <x:v>735870</x:v>
      </x:c>
      <x:c r="I126" s="13" t="str">
        <x:v>CAD</x:v>
      </x:c>
      <x:c r="J126" s="13" t="n">
        <x:v>1</x:v>
      </x:c>
      <x:c r="K126" s="14" t="n">
        <x:v>1</x:v>
      </x:c>
      <x:c r="L126" s="10" t="n">
        <x:f>IF(AND(ISNUMBER(H126),ISNUMBER(J126),ISNUMBER(K126)),H126*J126*K126,"")</x:f>
        <x:v>735870</x:v>
      </x:c>
      <x:c r="M126" s="2" t="str">
        <x:v>reported</x:v>
      </x:c>
      <x:c r="N126" s="2" t="str">
        <x:v>No</x:v>
      </x:c>
      <x:c r="O126" s="17"/>
      <x:c r="P126" s="15" t="str"/>
      <x:c r="Q126" s="16" t="d">
        <x:v>2026-03-17T12:00:00.000Z</x:v>
      </x:c>
      <x:c r="R126" s="15" t="str">
        <x:v>Summary Compensation Table</x:v>
      </x:c>
      <x:c r="S126" s="2" t="n">
        <x:v>54</x:v>
      </x:c>
      <x:c r="T126" s="15" t="str">
        <x:v>interfor_circular.pdf</x:v>
      </x:c>
      <x:c r="U126" s="15" t="str">
        <x:v>https://interfor.com/wp-content/uploads/2026/03/Information-Circular.pdf</x:v>
      </x:c>
      <x:c r="V126" s="15" t="str">
        <x:v>62f51d3625c51cfac54e4777b67a1bfbaa6e39bc401662ebdd3ed347167ab3ab</x:v>
      </x:c>
      <x:c r="W126" s="15" t="str">
        <x:v>PDF pp.54-55, SCT notes (1)-(9). Awards are grant-date fair values. Some US employees already translated to CAD by issuer; do not reconvert.</x:v>
      </x:c>
      <x:c r="X126" s="15" t="str">
        <x:v>Reported table value; no award revaluation or reconstruction.</x:v>
      </x:c>
      <x:c r="Y126" s="15" t="str"/>
      <x:c r="Z126" s="2"/>
      <x:c r="AA126" s="2" t="str">
        <x:v>interfor</x:v>
      </x:c>
      <x:c r="AB126" s="2" t="n">
        <x:v>55</x:v>
      </x:c>
      <x:c r="AC126" s="2" t="n">
        <x:v>13</x:v>
      </x:c>
      <x:c r="AD126" s="15" t="str">
        <x:v>Option-based Awards Share-based Awards</x:v>
      </x:c>
    </x:row>
    <x:row r="127" ht="48" customHeight="1">
      <x:c r="A127" s="2" t="str">
        <x:v>7c2e6907380329680c2e</x:v>
      </x:c>
      <x:c r="B127" s="2" t="str">
        <x:v>Interfor Corporation</x:v>
      </x:c>
      <x:c r="C127" s="2" t="str">
        <x:v>Michael C. Mackay</x:v>
      </x:c>
      <x:c r="D127" s="16" t="d">
        <x:v>2025-12-31T12:00:00.000Z</x:v>
      </x:c>
      <x:c r="E127" s="2" t="str">
        <x:v>salary</x:v>
      </x:c>
      <x:c r="F127" s="15" t="str">
        <x:v>Salary</x:v>
      </x:c>
      <x:c r="G127" s="2" t="str">
        <x:v>384,407</x:v>
      </x:c>
      <x:c r="H127" s="12" t="n">
        <x:v>384407</x:v>
      </x:c>
      <x:c r="I127" s="13" t="str">
        <x:v>CAD</x:v>
      </x:c>
      <x:c r="J127" s="13" t="n">
        <x:v>1</x:v>
      </x:c>
      <x:c r="K127" s="14" t="n">
        <x:v>1</x:v>
      </x:c>
      <x:c r="L127" s="10" t="n">
        <x:f>IF(AND(ISNUMBER(H127),ISNUMBER(J127),ISNUMBER(K127)),H127*J127*K127,"")</x:f>
        <x:v>384407</x:v>
      </x:c>
      <x:c r="M127" s="2" t="str">
        <x:v>reported</x:v>
      </x:c>
      <x:c r="N127" s="2" t="str">
        <x:v>No</x:v>
      </x:c>
      <x:c r="O127" s="17"/>
      <x:c r="P127" s="15" t="str"/>
      <x:c r="Q127" s="16" t="d">
        <x:v>2026-03-17T12:00:00.000Z</x:v>
      </x:c>
      <x:c r="R127" s="15" t="str">
        <x:v>Summary Compensation Table</x:v>
      </x:c>
      <x:c r="S127" s="2" t="n">
        <x:v>54</x:v>
      </x:c>
      <x:c r="T127" s="15" t="str">
        <x:v>interfor_circular.pdf</x:v>
      </x:c>
      <x:c r="U127" s="15" t="str">
        <x:v>https://interfor.com/wp-content/uploads/2026/03/Information-Circular.pdf</x:v>
      </x:c>
      <x:c r="V127" s="15" t="str">
        <x:v>62f51d3625c51cfac54e4777b67a1bfbaa6e39bc401662ebdd3ed347167ab3ab</x:v>
      </x:c>
      <x:c r="W127" s="15" t="str">
        <x:v>PDF pp.54-55, SCT notes (1)-(9). Awards are grant-date fair values. Some US employees already translated to CAD by issuer; do not reconvert.</x:v>
      </x:c>
      <x:c r="X127" s="15" t="str">
        <x:v>Reported table value; no award revaluation or reconstruction.</x:v>
      </x:c>
      <x:c r="Y127" s="15" t="str"/>
      <x:c r="Z127" s="2"/>
      <x:c r="AA127" s="2" t="str">
        <x:v>interfor</x:v>
      </x:c>
      <x:c r="AB127" s="2" t="n">
        <x:v>55</x:v>
      </x:c>
      <x:c r="AC127" s="2" t="n">
        <x:v>14</x:v>
      </x:c>
      <x:c r="AD127" s="15" t="str">
        <x:v>Number of Market or</x:v>
      </x:c>
    </x:row>
    <x:row r="128" ht="48" customHeight="1">
      <x:c r="A128" s="2" t="str">
        <x:v>7c2e6907380329680c2e</x:v>
      </x:c>
      <x:c r="B128" s="2" t="str">
        <x:v>Interfor Corporation</x:v>
      </x:c>
      <x:c r="C128" s="2" t="str">
        <x:v>Michael C. Mackay</x:v>
      </x:c>
      <x:c r="D128" s="16" t="d">
        <x:v>2025-12-31T12:00:00.000Z</x:v>
      </x:c>
      <x:c r="E128" s="2" t="str">
        <x:v>share_awards</x:v>
      </x:c>
      <x:c r="F128" s="15" t="str">
        <x:v>Share Based Awards (1)(2)</x:v>
      </x:c>
      <x:c r="G128" s="2" t="str">
        <x:v>266,666</x:v>
      </x:c>
      <x:c r="H128" s="12" t="n">
        <x:v>266666</x:v>
      </x:c>
      <x:c r="I128" s="13" t="str">
        <x:v>CAD</x:v>
      </x:c>
      <x:c r="J128" s="13" t="n">
        <x:v>1</x:v>
      </x:c>
      <x:c r="K128" s="14" t="n">
        <x:v>1</x:v>
      </x:c>
      <x:c r="L128" s="10" t="n">
        <x:f>IF(AND(ISNUMBER(H128),ISNUMBER(J128),ISNUMBER(K128)),H128*J128*K128,"")</x:f>
        <x:v>266666</x:v>
      </x:c>
      <x:c r="M128" s="2" t="str">
        <x:v>reported</x:v>
      </x:c>
      <x:c r="N128" s="2" t="str">
        <x:v>No</x:v>
      </x:c>
      <x:c r="O128" s="17"/>
      <x:c r="P128" s="15" t="str"/>
      <x:c r="Q128" s="16" t="d">
        <x:v>2026-03-17T12:00:00.000Z</x:v>
      </x:c>
      <x:c r="R128" s="15" t="str">
        <x:v>Summary Compensation Table</x:v>
      </x:c>
      <x:c r="S128" s="2" t="n">
        <x:v>54</x:v>
      </x:c>
      <x:c r="T128" s="15" t="str">
        <x:v>interfor_circular.pdf</x:v>
      </x:c>
      <x:c r="U128" s="15" t="str">
        <x:v>https://interfor.com/wp-content/uploads/2026/03/Information-Circular.pdf</x:v>
      </x:c>
      <x:c r="V128" s="15" t="str">
        <x:v>62f51d3625c51cfac54e4777b67a1bfbaa6e39bc401662ebdd3ed347167ab3ab</x:v>
      </x:c>
      <x:c r="W128" s="15" t="str">
        <x:v>PDF pp.54-55, SCT notes (1)-(9). Awards are grant-date fair values. Some US employees already translated to CAD by issuer; do not reconvert.</x:v>
      </x:c>
      <x:c r="X128" s="15" t="str">
        <x:v>Reported table value; no award revaluation or reconstruction.</x:v>
      </x:c>
      <x:c r="Y128" s="15" t="str"/>
      <x:c r="Z128" s="2"/>
      <x:c r="AA128" s="2" t="str">
        <x:v>interfor</x:v>
      </x:c>
      <x:c r="AB128" s="2" t="n">
        <x:v>55</x:v>
      </x:c>
      <x:c r="AC128" s="2" t="n">
        <x:v>15</x:v>
      </x:c>
      <x:c r="AD128" s="15" t="str">
        <x:v>Market or</x:v>
      </x:c>
    </x:row>
    <x:row r="129" ht="48" customHeight="1">
      <x:c r="A129" s="2" t="str">
        <x:v>7c2e6907380329680c2e</x:v>
      </x:c>
      <x:c r="B129" s="2" t="str">
        <x:v>Interfor Corporation</x:v>
      </x:c>
      <x:c r="C129" s="2" t="str">
        <x:v>Michael C. Mackay</x:v>
      </x:c>
      <x:c r="D129" s="16" t="d">
        <x:v>2025-12-31T12:00:00.000Z</x:v>
      </x:c>
      <x:c r="E129" s="2" t="str">
        <x:v>option_awards</x:v>
      </x:c>
      <x:c r="F129" s="15" t="str">
        <x:v>Option Based Awards</x:v>
      </x:c>
      <x:c r="G129" s="2" t="str">
        <x:v>-</x:v>
      </x:c>
      <x:c r="H129" s="12"/>
      <x:c r="I129" s="13" t="str">
        <x:v>CAD</x:v>
      </x:c>
      <x:c r="J129" s="13" t="n">
        <x:v>1</x:v>
      </x:c>
      <x:c r="K129" s="14"/>
      <x:c r="L129" s="10" t="str">
        <x:f>IF(AND(ISNUMBER(H129),ISNUMBER(J129),ISNUMBER(K129)),H129*J129*K129,"")</x:f>
      </x:c>
      <x:c r="M129" s="2" t="str">
        <x:v>uncertain</x:v>
      </x:c>
      <x:c r="N129" s="2" t="str">
        <x:v>No</x:v>
      </x:c>
      <x:c r="O129" s="17"/>
      <x:c r="P129" s="15" t="str"/>
      <x:c r="Q129" s="16" t="d">
        <x:v>2026-03-17T12:00:00.000Z</x:v>
      </x:c>
      <x:c r="R129" s="15" t="str">
        <x:v>Summary Compensation Table</x:v>
      </x:c>
      <x:c r="S129" s="2" t="n">
        <x:v>54</x:v>
      </x:c>
      <x:c r="T129" s="15" t="str">
        <x:v>interfor_circular.pdf</x:v>
      </x:c>
      <x:c r="U129" s="15" t="str">
        <x:v>https://interfor.com/wp-content/uploads/2026/03/Information-Circular.pdf</x:v>
      </x:c>
      <x:c r="V129" s="15" t="str">
        <x:v>62f51d3625c51cfac54e4777b67a1bfbaa6e39bc401662ebdd3ed347167ab3ab</x:v>
      </x:c>
      <x:c r="W129" s="15" t="str">
        <x:v>PDF pp.54-55, SCT notes (1)-(9). Awards are grant-date fair values. Some US employees already translated to CAD by issuer; do not reconvert.</x:v>
      </x:c>
      <x:c r="X129" s="15" t="str">
        <x:v>Reported table value; no award revaluation or reconstruction.</x:v>
      </x:c>
      <x:c r="Y129" s="15" t="str">
        <x:v>Source dash has no verified numeric meaning</x:v>
      </x:c>
      <x:c r="Z129" s="2"/>
      <x:c r="AA129" s="2" t="str">
        <x:v>interfor</x:v>
      </x:c>
      <x:c r="AB129" s="2" t="n">
        <x:v>55</x:v>
      </x:c>
      <x:c r="AC129" s="2" t="n">
        <x:v>16</x:v>
      </x:c>
      <x:c r="AD129" s="15" t="str">
        <x:v>Number of Value of Shares or Payout Value</x:v>
      </x:c>
    </x:row>
    <x:row r="130" ht="48" customHeight="1">
      <x:c r="A130" s="2" t="str">
        <x:v>7c2e6907380329680c2e</x:v>
      </x:c>
      <x:c r="B130" s="2" t="str">
        <x:v>Interfor Corporation</x:v>
      </x:c>
      <x:c r="C130" s="2" t="str">
        <x:v>Michael C. Mackay</x:v>
      </x:c>
      <x:c r="D130" s="16" t="d">
        <x:v>2025-12-31T12:00:00.000Z</x:v>
      </x:c>
      <x:c r="E130" s="2" t="str">
        <x:v>annual_incentive</x:v>
      </x:c>
      <x:c r="F130" s="15" t="str">
        <x:v>Non-Equity Incentive Plan Compensation - Annual Incentive Plans(3)</x:v>
      </x:c>
      <x:c r="G130" s="2" t="str">
        <x:v>-</x:v>
      </x:c>
      <x:c r="H130" s="12"/>
      <x:c r="I130" s="13" t="str">
        <x:v>CAD</x:v>
      </x:c>
      <x:c r="J130" s="13" t="n">
        <x:v>1</x:v>
      </x:c>
      <x:c r="K130" s="14"/>
      <x:c r="L130" s="10" t="str">
        <x:f>IF(AND(ISNUMBER(H130),ISNUMBER(J130),ISNUMBER(K130)),H130*J130*K130,"")</x:f>
      </x:c>
      <x:c r="M130" s="2" t="str">
        <x:v>uncertain</x:v>
      </x:c>
      <x:c r="N130" s="2" t="str">
        <x:v>No</x:v>
      </x:c>
      <x:c r="O130" s="17"/>
      <x:c r="P130" s="15" t="str"/>
      <x:c r="Q130" s="16" t="d">
        <x:v>2026-03-17T12:00:00.000Z</x:v>
      </x:c>
      <x:c r="R130" s="15" t="str">
        <x:v>Summary Compensation Table</x:v>
      </x:c>
      <x:c r="S130" s="2" t="n">
        <x:v>54</x:v>
      </x:c>
      <x:c r="T130" s="15" t="str">
        <x:v>interfor_circular.pdf</x:v>
      </x:c>
      <x:c r="U130" s="15" t="str">
        <x:v>https://interfor.com/wp-content/uploads/2026/03/Information-Circular.pdf</x:v>
      </x:c>
      <x:c r="V130" s="15" t="str">
        <x:v>62f51d3625c51cfac54e4777b67a1bfbaa6e39bc401662ebdd3ed347167ab3ab</x:v>
      </x:c>
      <x:c r="W130" s="15" t="str">
        <x:v>PDF pp.54-55, SCT notes (1)-(9). Awards are grant-date fair values. Some US employees already translated to CAD by issuer; do not reconvert.</x:v>
      </x:c>
      <x:c r="X130" s="15" t="str">
        <x:v>Annual short-term incentive heading; direct mapping, no long-term amounts combined.</x:v>
      </x:c>
      <x:c r="Y130" s="15" t="str">
        <x:v>Source dash has no verified numeric meaning</x:v>
      </x:c>
      <x:c r="Z130" s="2"/>
      <x:c r="AA130" s="2" t="str">
        <x:v>interfor</x:v>
      </x:c>
      <x:c r="AB130" s="2" t="n">
        <x:v>55</x:v>
      </x:c>
      <x:c r="AC130" s="2" t="n">
        <x:v>17</x:v>
      </x:c>
      <x:c r="AD130" s="15" t="str">
        <x:v>Payout Value</x:v>
      </x:c>
    </x:row>
    <x:row r="131" ht="48" customHeight="1">
      <x:c r="A131" s="2" t="str">
        <x:v>7c2e6907380329680c2e</x:v>
      </x:c>
      <x:c r="B131" s="2" t="str">
        <x:v>Interfor Corporation</x:v>
      </x:c>
      <x:c r="C131" s="2" t="str">
        <x:v>Michael C. Mackay</x:v>
      </x:c>
      <x:c r="D131" s="16" t="d">
        <x:v>2025-12-31T12:00:00.000Z</x:v>
      </x:c>
      <x:c r="E131" s="2" t="str">
        <x:v>long_term_incentive</x:v>
      </x:c>
      <x:c r="F131" s="15" t="str">
        <x:v>Non-Equity Incentive Plan Compensation - Long-term Incentive Plans</x:v>
      </x:c>
      <x:c r="G131" s="2" t="str">
        <x:v>-</x:v>
      </x:c>
      <x:c r="H131" s="12"/>
      <x:c r="I131" s="13" t="str">
        <x:v>CAD</x:v>
      </x:c>
      <x:c r="J131" s="13" t="n">
        <x:v>1</x:v>
      </x:c>
      <x:c r="K131" s="14"/>
      <x:c r="L131" s="10" t="str">
        <x:f>IF(AND(ISNUMBER(H131),ISNUMBER(J131),ISNUMBER(K131)),H131*J131*K131,"")</x:f>
      </x:c>
      <x:c r="M131" s="2" t="str">
        <x:v>uncertain</x:v>
      </x:c>
      <x:c r="N131" s="2" t="str">
        <x:v>No</x:v>
      </x:c>
      <x:c r="O131" s="17"/>
      <x:c r="P131" s="15" t="str"/>
      <x:c r="Q131" s="16" t="d">
        <x:v>2026-03-17T12:00:00.000Z</x:v>
      </x:c>
      <x:c r="R131" s="15" t="str">
        <x:v>Summary Compensation Table</x:v>
      </x:c>
      <x:c r="S131" s="2" t="n">
        <x:v>54</x:v>
      </x:c>
      <x:c r="T131" s="15" t="str">
        <x:v>interfor_circular.pdf</x:v>
      </x:c>
      <x:c r="U131" s="15" t="str">
        <x:v>https://interfor.com/wp-content/uploads/2026/03/Information-Circular.pdf</x:v>
      </x:c>
      <x:c r="V131" s="15" t="str">
        <x:v>62f51d3625c51cfac54e4777b67a1bfbaa6e39bc401662ebdd3ed347167ab3ab</x:v>
      </x:c>
      <x:c r="W131" s="15" t="str">
        <x:v>PDF pp.54-55, SCT notes (1)-(9). Awards are grant-date fair values. Some US employees already translated to CAD by issuer; do not reconvert.</x:v>
      </x:c>
      <x:c r="X131" s="15" t="str">
        <x:v>Reported table value; no award revaluation or reconstruction.</x:v>
      </x:c>
      <x:c r="Y131" s="15" t="str">
        <x:v>Source dash has no verified numeric meaning</x:v>
      </x:c>
      <x:c r="Z131" s="2"/>
      <x:c r="AA131" s="2" t="str">
        <x:v>interfor</x:v>
      </x:c>
      <x:c r="AB131" s="2" t="n">
        <x:v>55</x:v>
      </x:c>
      <x:c r="AC131" s="2" t="n">
        <x:v>18</x:v>
      </x:c>
      <x:c r="AD131" s="15" t="str">
        <x:v>Securities Option Option Unexercised Units of of vested</x:v>
      </x:c>
    </x:row>
    <x:row r="132" ht="48" customHeight="1">
      <x:c r="A132" s="2" t="str">
        <x:v>7c2e6907380329680c2e</x:v>
      </x:c>
      <x:c r="B132" s="2" t="str">
        <x:v>Interfor Corporation</x:v>
      </x:c>
      <x:c r="C132" s="2" t="str">
        <x:v>Michael C. Mackay</x:v>
      </x:c>
      <x:c r="D132" s="16" t="d">
        <x:v>2025-12-31T12:00:00.000Z</x:v>
      </x:c>
      <x:c r="E132" s="2" t="str">
        <x:v>pension</x:v>
      </x:c>
      <x:c r="F132" s="15" t="str">
        <x:v>Pension Value(4)</x:v>
      </x:c>
      <x:c r="G132" s="2" t="str">
        <x:v>20,667</x:v>
      </x:c>
      <x:c r="H132" s="12" t="n">
        <x:v>20667</x:v>
      </x:c>
      <x:c r="I132" s="13" t="str">
        <x:v>CAD</x:v>
      </x:c>
      <x:c r="J132" s="13" t="n">
        <x:v>1</x:v>
      </x:c>
      <x:c r="K132" s="14" t="n">
        <x:v>1</x:v>
      </x:c>
      <x:c r="L132" s="10" t="n">
        <x:f>IF(AND(ISNUMBER(H132),ISNUMBER(J132),ISNUMBER(K132)),H132*J132*K132,"")</x:f>
        <x:v>20667</x:v>
      </x:c>
      <x:c r="M132" s="2" t="str">
        <x:v>reported</x:v>
      </x:c>
      <x:c r="N132" s="2" t="str">
        <x:v>No</x:v>
      </x:c>
      <x:c r="O132" s="17"/>
      <x:c r="P132" s="15" t="str"/>
      <x:c r="Q132" s="16" t="d">
        <x:v>2026-03-17T12:00:00.000Z</x:v>
      </x:c>
      <x:c r="R132" s="15" t="str">
        <x:v>Summary Compensation Table</x:v>
      </x:c>
      <x:c r="S132" s="2" t="n">
        <x:v>54</x:v>
      </x:c>
      <x:c r="T132" s="15" t="str">
        <x:v>interfor_circular.pdf</x:v>
      </x:c>
      <x:c r="U132" s="15" t="str">
        <x:v>https://interfor.com/wp-content/uploads/2026/03/Information-Circular.pdf</x:v>
      </x:c>
      <x:c r="V132" s="15" t="str">
        <x:v>62f51d3625c51cfac54e4777b67a1bfbaa6e39bc401662ebdd3ed347167ab3ab</x:v>
      </x:c>
      <x:c r="W132" s="15" t="str">
        <x:v>PDF pp.54-55, SCT notes (1)-(9). Awards are grant-date fair values. Some US employees already translated to CAD by issuer; do not reconvert.</x:v>
      </x:c>
      <x:c r="X132" s="15" t="str">
        <x:v>Reported table value; no award revaluation or reconstruction.</x:v>
      </x:c>
      <x:c r="Y132" s="15" t="str"/>
      <x:c r="Z132" s="2"/>
      <x:c r="AA132" s="2" t="str">
        <x:v>interfor</x:v>
      </x:c>
      <x:c r="AB132" s="2" t="n">
        <x:v>55</x:v>
      </x:c>
      <x:c r="AC132" s="2" t="n">
        <x:v>19</x:v>
      </x:c>
      <x:c r="AD132" s="15" t="str">
        <x:v>of Share-</x:v>
      </x:c>
    </x:row>
    <x:row r="133" ht="48" customHeight="1">
      <x:c r="A133" s="2" t="str">
        <x:v>7c2e6907380329680c2e</x:v>
      </x:c>
      <x:c r="B133" s="2" t="str">
        <x:v>Interfor Corporation</x:v>
      </x:c>
      <x:c r="C133" s="2" t="str">
        <x:v>Michael C. Mackay</x:v>
      </x:c>
      <x:c r="D133" s="16" t="d">
        <x:v>2025-12-31T12:00:00.000Z</x:v>
      </x:c>
      <x:c r="E133" s="2" t="str">
        <x:v>other</x:v>
      </x:c>
      <x:c r="F133" s="15" t="str">
        <x:v>All Other Compensation(5)</x:v>
      </x:c>
      <x:c r="G133" s="2" t="str">
        <x:v>64,130</x:v>
      </x:c>
      <x:c r="H133" s="12" t="n">
        <x:v>64130</x:v>
      </x:c>
      <x:c r="I133" s="13" t="str">
        <x:v>CAD</x:v>
      </x:c>
      <x:c r="J133" s="13" t="n">
        <x:v>1</x:v>
      </x:c>
      <x:c r="K133" s="14" t="n">
        <x:v>1</x:v>
      </x:c>
      <x:c r="L133" s="10" t="n">
        <x:f>IF(AND(ISNUMBER(H133),ISNUMBER(J133),ISNUMBER(K133)),H133*J133*K133,"")</x:f>
        <x:v>64130</x:v>
      </x:c>
      <x:c r="M133" s="2" t="str">
        <x:v>reported</x:v>
      </x:c>
      <x:c r="N133" s="2" t="str">
        <x:v>No</x:v>
      </x:c>
      <x:c r="O133" s="17"/>
      <x:c r="P133" s="15" t="str"/>
      <x:c r="Q133" s="16" t="d">
        <x:v>2026-03-17T12:00:00.000Z</x:v>
      </x:c>
      <x:c r="R133" s="15" t="str">
        <x:v>Summary Compensation Table</x:v>
      </x:c>
      <x:c r="S133" s="2" t="n">
        <x:v>54</x:v>
      </x:c>
      <x:c r="T133" s="15" t="str">
        <x:v>interfor_circular.pdf</x:v>
      </x:c>
      <x:c r="U133" s="15" t="str">
        <x:v>https://interfor.com/wp-content/uploads/2026/03/Information-Circular.pdf</x:v>
      </x:c>
      <x:c r="V133" s="15" t="str">
        <x:v>62f51d3625c51cfac54e4777b67a1bfbaa6e39bc401662ebdd3ed347167ab3ab</x:v>
      </x:c>
      <x:c r="W133" s="15" t="str">
        <x:v>PDF pp.54-55, SCT notes (1)-(9). Awards are grant-date fair values. Some US employees already translated to CAD by issuer; do not reconvert.</x:v>
      </x:c>
      <x:c r="X133" s="15" t="str">
        <x:v>Reported table value; no award revaluation or reconstruction.</x:v>
      </x:c>
      <x:c r="Y133" s="15" t="str"/>
      <x:c r="Z133" s="2"/>
      <x:c r="AA133" s="2" t="str">
        <x:v>interfor</x:v>
      </x:c>
      <x:c r="AB133" s="2" t="n">
        <x:v>55</x:v>
      </x:c>
      <x:c r="AC133" s="2" t="n">
        <x:v>20</x:v>
      </x:c>
      <x:c r="AD133" s="15" t="str">
        <x:v>Name Underlying Exercise Expiration In-the- Shares Share-based</x:v>
      </x:c>
    </x:row>
    <x:row r="134" ht="2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 t="str">
        <x:v>interfor</x:v>
      </x:c>
      <x:c r="AB134" s="2" t="n">
        <x:v>55</x:v>
      </x:c>
      <x:c r="AC134" s="2" t="n">
        <x:v>21</x:v>
      </x:c>
      <x:c r="AD134" s="15" t="str">
        <x:v>based Awards</x:v>
      </x:c>
    </x:row>
    <x:row r="135" ht="2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 t="str">
        <x:v>interfor</x:v>
      </x:c>
      <x:c r="AB135" s="2" t="n">
        <x:v>55</x:v>
      </x:c>
      <x:c r="AC135" s="2" t="n">
        <x:v>22</x:v>
      </x:c>
      <x:c r="AD135" s="15" t="str">
        <x:v>Unexercised Price Date money that have Awards not</x:v>
      </x:c>
    </x:row>
    <x:row r="136" ht="2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 t="str">
        <x:v>interfor</x:v>
      </x:c>
      <x:c r="AB136" s="2" t="n">
        <x:v>55</x:v>
      </x:c>
      <x:c r="AC136" s="2" t="n">
        <x:v>23</x:v>
      </x:c>
      <x:c r="AD136" s="15" t="str">
        <x:v>that have not</x:v>
      </x:c>
    </x:row>
    <x:row r="137" ht="28" customHeight="1">
      <x:c r="AA137" s="1" t="str">
        <x:v>interfor</x:v>
      </x:c>
      <x:c r="AB137" s="1" t="n">
        <x:v>55</x:v>
      </x:c>
      <x:c r="AC137" s="1" t="n">
        <x:v>24</x:v>
      </x:c>
      <x:c r="AD137" s="18" t="str">
        <x:v>Options Options(4) not paid out or</x:v>
      </x:c>
    </x:row>
    <x:row r="138" ht="28" customHeight="1">
      <x:c r="AA138" s="1" t="str">
        <x:v>interfor</x:v>
      </x:c>
      <x:c r="AB138" s="1" t="n">
        <x:v>55</x:v>
      </x:c>
      <x:c r="AC138" s="1" t="n">
        <x:v>25</x:v>
      </x:c>
      <x:c r="AD138" s="18" t="str">
        <x:v>Vested(2)</x:v>
      </x:c>
    </x:row>
    <x:row r="139" ht="28" customHeight="1">
      <x:c r="AA139" s="1" t="str">
        <x:v>interfor</x:v>
      </x:c>
      <x:c r="AB139" s="1" t="n">
        <x:v>55</x:v>
      </x:c>
      <x:c r="AC139" s="1" t="n">
        <x:v>26</x:v>
      </x:c>
      <x:c r="AD139" s="18" t="str">
        <x:v>Vested(1) distributed</x:v>
      </x:c>
    </x:row>
    <x:row r="140" ht="28" customHeight="1">
      <x:c r="AA140" s="1" t="str">
        <x:v>interfor</x:v>
      </x:c>
      <x:c r="AB140" s="1" t="n">
        <x:v>55</x:v>
      </x:c>
      <x:c r="AC140" s="1" t="n">
        <x:v>27</x:v>
      </x:c>
      <x:c r="AD140" s="18" t="str">
        <x:v># $ $ # $ $</x:v>
      </x:c>
    </x:row>
    <x:row r="141" ht="28" customHeight="1">
      <x:c r="AA141" s="1" t="str">
        <x:v>interfor</x:v>
      </x:c>
      <x:c r="AB141" s="1" t="n">
        <x:v>55</x:v>
      </x:c>
      <x:c r="AC141" s="1" t="n">
        <x:v>28</x:v>
      </x:c>
      <x:c r="AD141" s="18" t="str">
        <x:v>Ian M. Fillinger</x:v>
      </x:c>
    </x:row>
    <x:row r="142" ht="28" customHeight="1">
      <x:c r="AA142" s="1" t="str">
        <x:v>interfor</x:v>
      </x:c>
      <x:c r="AB142" s="1" t="n">
        <x:v>55</x:v>
      </x:c>
      <x:c r="AC142" s="1" t="n">
        <x:v>29</x:v>
      </x:c>
      <x:c r="AD142" s="18" t="str">
        <x:v>PSUs - - - - 127,328 - -</x:v>
      </x:c>
    </x:row>
    <x:row r="143" ht="28" customHeight="1">
      <x:c r="AA143" s="1" t="str">
        <x:v>interfor</x:v>
      </x:c>
      <x:c r="AB143" s="1" t="n">
        <x:v>55</x:v>
      </x:c>
      <x:c r="AC143" s="1" t="n">
        <x:v>30</x:v>
      </x:c>
      <x:c r="AD143" s="18" t="str">
        <x:v>RSUs - - - - 43,947 $363,442 $331,304</x:v>
      </x:c>
    </x:row>
    <x:row r="144" ht="28" customHeight="1">
      <x:c r="AA144" s="1" t="str">
        <x:v>interfor</x:v>
      </x:c>
      <x:c r="AB144" s="1" t="n">
        <x:v>55</x:v>
      </x:c>
      <x:c r="AC144" s="1" t="n">
        <x:v>31</x:v>
      </x:c>
      <x:c r="AD144" s="18" t="str">
        <x:v>DSUs - - - - - - $163,493(3)</x:v>
      </x:c>
    </x:row>
    <x:row r="145" ht="28" customHeight="1">
      <x:c r="AA145" s="1" t="str">
        <x:v>interfor</x:v>
      </x:c>
      <x:c r="AB145" s="1" t="n">
        <x:v>55</x:v>
      </x:c>
      <x:c r="AC145" s="1" t="n">
        <x:v>32</x:v>
      </x:c>
      <x:c r="AD145" s="18" t="str">
        <x:v>Michael C. Mackay</x:v>
      </x:c>
    </x:row>
    <x:row r="146" ht="28" customHeight="1">
      <x:c r="AA146" s="1" t="str">
        <x:v>interfor</x:v>
      </x:c>
      <x:c r="AB146" s="1" t="n">
        <x:v>55</x:v>
      </x:c>
      <x:c r="AC146" s="1" t="n">
        <x:v>33</x:v>
      </x:c>
      <x:c r="AD146" s="18" t="str">
        <x:v>PSUs - - - - 14,134 - -</x:v>
      </x:c>
    </x:row>
    <x:row r="147" ht="28" customHeight="1">
      <x:c r="AA147" s="1" t="str">
        <x:v>interfor</x:v>
      </x:c>
      <x:c r="AB147" s="1" t="n">
        <x:v>55</x:v>
      </x:c>
      <x:c r="AC147" s="1" t="n">
        <x:v>34</x:v>
      </x:c>
      <x:c r="AD147" s="18" t="str">
        <x:v>RSUs - - - - 5,230 $43,252 $34,395</x:v>
      </x:c>
    </x:row>
    <x:row r="148" ht="28" customHeight="1">
      <x:c r="AA148" s="1" t="str">
        <x:v>interfor</x:v>
      </x:c>
      <x:c r="AB148" s="1" t="n">
        <x:v>55</x:v>
      </x:c>
      <x:c r="AC148" s="1" t="n">
        <x:v>35</x:v>
      </x:c>
      <x:c r="AD148" s="18" t="str">
        <x:v>1,274 $15.01 Oct 31, 2026 -</x:v>
      </x:c>
    </x:row>
    <x:row r="149" ht="28" customHeight="1">
      <x:c r="AA149" s="1" t="str">
        <x:v>interfor</x:v>
      </x:c>
      <x:c r="AB149" s="1" t="n">
        <x:v>55</x:v>
      </x:c>
      <x:c r="AC149" s="1" t="n">
        <x:v>36</x:v>
      </x:c>
      <x:c r="AD149" s="18" t="str">
        <x:v>1,284 $15.44 Feb 7, 2027 -</x:v>
      </x:c>
    </x:row>
    <x:row r="150" ht="28" customHeight="1">
      <x:c r="AA150" s="1" t="str">
        <x:v>interfor</x:v>
      </x:c>
      <x:c r="AB150" s="1" t="n">
        <x:v>55</x:v>
      </x:c>
      <x:c r="AC150" s="1" t="n">
        <x:v>37</x:v>
      </x:c>
      <x:c r="AD150" s="18" t="str">
        <x:v>2,020 $23.26 Feb 6, 2028 -</x:v>
      </x:c>
    </x:row>
    <x:row r="151" ht="28" customHeight="1">
      <x:c r="AA151" s="1" t="str">
        <x:v>interfor</x:v>
      </x:c>
      <x:c r="AB151" s="1" t="n">
        <x:v>55</x:v>
      </x:c>
      <x:c r="AC151" s="1" t="n">
        <x:v>38</x:v>
      </x:c>
      <x:c r="AD151" s="18" t="str">
        <x:v>Stock Options - - -</x:v>
      </x:c>
    </x:row>
    <x:row r="152" ht="28" customHeight="1">
      <x:c r="AA152" s="1" t="str">
        <x:v>interfor</x:v>
      </x:c>
      <x:c r="AB152" s="1" t="n">
        <x:v>55</x:v>
      </x:c>
      <x:c r="AC152" s="1" t="n">
        <x:v>39</x:v>
      </x:c>
      <x:c r="AD152" s="18" t="str">
        <x:v>3,881 $18.10 Feb 5, 2029 -</x:v>
      </x:c>
    </x:row>
    <x:row r="153" ht="28" customHeight="1">
      <x:c r="AA153" s="1" t="str">
        <x:v>interfor</x:v>
      </x:c>
      <x:c r="AB153" s="1" t="n">
        <x:v>55</x:v>
      </x:c>
      <x:c r="AC153" s="1" t="n">
        <x:v>40</x:v>
      </x:c>
      <x:c r="AD153" s="18" t="str">
        <x:v>8,174 $14.62 Feb 4, 2030 -</x:v>
      </x:c>
    </x:row>
    <x:row r="154" ht="28" customHeight="1">
      <x:c r="AA154" s="1" t="str">
        <x:v>interfor</x:v>
      </x:c>
      <x:c r="AB154" s="1" t="n">
        <x:v>55</x:v>
      </x:c>
      <x:c r="AC154" s="1" t="n">
        <x:v>41</x:v>
      </x:c>
      <x:c r="AD154" s="18" t="str">
        <x:v>3,788 $15.47 Aug 4, 2030 -</x:v>
      </x:c>
    </x:row>
    <x:row r="155" ht="28" customHeight="1">
      <x:c r="AA155" s="1" t="str">
        <x:v>interfor</x:v>
      </x:c>
      <x:c r="AB155" s="1" t="n">
        <x:v>55</x:v>
      </x:c>
      <x:c r="AC155" s="1" t="n">
        <x:v>42</x:v>
      </x:c>
      <x:c r="AD155" s="18" t="str">
        <x:v>Andrew L. Horahan</x:v>
      </x:c>
    </x:row>
    <x:row r="156" ht="28" customHeight="1">
      <x:c r="AA156" s="1" t="str">
        <x:v>interfor</x:v>
      </x:c>
      <x:c r="AB156" s="1" t="n">
        <x:v>55</x:v>
      </x:c>
      <x:c r="AC156" s="1" t="n">
        <x:v>43</x:v>
      </x:c>
      <x:c r="AD156" s="18" t="str">
        <x:v>PSUs - - - - 35,369 - -</x:v>
      </x:c>
    </x:row>
    <x:row r="157" ht="28" customHeight="1">
      <x:c r="AA157" s="1" t="str">
        <x:v>interfor</x:v>
      </x:c>
      <x:c r="AB157" s="1" t="n">
        <x:v>55</x:v>
      </x:c>
      <x:c r="AC157" s="1" t="n">
        <x:v>44</x:v>
      </x:c>
      <x:c r="AD157" s="18" t="str">
        <x:v>RSUs - - - - 12,207 $100,952 $92,029</x:v>
      </x:c>
    </x:row>
    <x:row r="158" ht="28" customHeight="1">
      <x:c r="AA158" s="1" t="str">
        <x:v>interfor</x:v>
      </x:c>
      <x:c r="AB158" s="1" t="n">
        <x:v>55</x:v>
      </x:c>
      <x:c r="AC158" s="1" t="n">
        <x:v>45</x:v>
      </x:c>
      <x:c r="AD158" s="18" t="str">
        <x:v>Timothy P. Hartnett</x:v>
      </x:c>
    </x:row>
    <x:row r="159" ht="28" customHeight="1">
      <x:c r="AA159" s="1" t="str">
        <x:v>interfor</x:v>
      </x:c>
      <x:c r="AB159" s="1" t="n">
        <x:v>55</x:v>
      </x:c>
      <x:c r="AC159" s="1" t="n">
        <x:v>46</x:v>
      </x:c>
      <x:c r="AD159" s="18" t="str">
        <x:v>PSUs - - - - 25,151 - -</x:v>
      </x:c>
    </x:row>
    <x:row r="160" ht="28" customHeight="1">
      <x:c r="AA160" s="1" t="str">
        <x:v>interfor</x:v>
      </x:c>
      <x:c r="AB160" s="1" t="n">
        <x:v>55</x:v>
      </x:c>
      <x:c r="AC160" s="1" t="n">
        <x:v>47</x:v>
      </x:c>
      <x:c r="AD160" s="18" t="str">
        <x:v>RSUs - - - - 8,680 $71,784 $65,441</x:v>
      </x:c>
    </x:row>
    <x:row r="161" ht="28" customHeight="1">
      <x:c r="AA161" s="1" t="str">
        <x:v>interfor</x:v>
      </x:c>
      <x:c r="AB161" s="1" t="n">
        <x:v>55</x:v>
      </x:c>
      <x:c r="AC161" s="1" t="n">
        <x:v>48</x:v>
      </x:c>
      <x:c r="AD161" s="18" t="str">
        <x:v>Richard A. Pozzebon (Former)</x:v>
      </x:c>
    </x:row>
    <x:row r="162" ht="28" customHeight="1">
      <x:c r="AA162" s="1" t="str">
        <x:v>interfor</x:v>
      </x:c>
      <x:c r="AB162" s="1" t="n">
        <x:v>55</x:v>
      </x:c>
      <x:c r="AC162" s="1" t="n">
        <x:v>49</x:v>
      </x:c>
      <x:c r="AD162" s="18" t="str">
        <x:v>PSUs - - - - 43,292 - -</x:v>
      </x:c>
    </x:row>
    <x:row r="163" ht="28" customHeight="1">
      <x:c r="AA163" s="1" t="str">
        <x:v>interfor</x:v>
      </x:c>
      <x:c r="AB163" s="1" t="n">
        <x:v>55</x:v>
      </x:c>
      <x:c r="AC163" s="1" t="n">
        <x:v>50</x:v>
      </x:c>
      <x:c r="AD163" s="18" t="str">
        <x:v>RSUs - - - - 14,941 $123,562 $112,646</x:v>
      </x:c>
    </x:row>
    <x:row r="164" ht="28" customHeight="1">
      <x:c r="AA164" s="1" t="str">
        <x:v>interfor</x:v>
      </x:c>
      <x:c r="AB164" s="1" t="n">
        <x:v>55</x:v>
      </x:c>
      <x:c r="AC164" s="1" t="n">
        <x:v>51</x:v>
      </x:c>
      <x:c r="AD164" s="18" t="str">
        <x:v>S. Bruce Luxmoore (Former)</x:v>
      </x:c>
    </x:row>
    <x:row r="165" ht="28" customHeight="1">
      <x:c r="AA165" s="1" t="str">
        <x:v>interfor</x:v>
      </x:c>
      <x:c r="AB165" s="1" t="n">
        <x:v>55</x:v>
      </x:c>
      <x:c r="AC165" s="1" t="n">
        <x:v>52</x:v>
      </x:c>
      <x:c r="AD165" s="18" t="str">
        <x:v>PSUs - - - - 35,369 - -</x:v>
      </x:c>
    </x:row>
    <x:row r="166" ht="28" customHeight="1">
      <x:c r="AA166" s="1" t="str">
        <x:v>interfor</x:v>
      </x:c>
      <x:c r="AB166" s="1" t="n">
        <x:v>55</x:v>
      </x:c>
      <x:c r="AC166" s="1" t="n">
        <x:v>53</x:v>
      </x:c>
      <x:c r="AD166" s="18" t="str">
        <x:v>RSUs - - - - 12,207 $100,952 $92,029</x:v>
      </x:c>
    </x:row>
    <x:row r="167" ht="28" customHeight="1">
      <x:c r="AA167" s="1" t="str">
        <x:v>interfor</x:v>
      </x:c>
      <x:c r="AB167" s="1" t="n">
        <x:v>55</x:v>
      </x:c>
      <x:c r="AC167" s="1" t="n">
        <x:v>54</x:v>
      </x:c>
      <x:c r="AD167" s="18" t="str">
        <x:v>(1) These values represent the target number of PSUs and RSUs.</x:v>
      </x:c>
    </x:row>
    <x:row r="168" ht="28" customHeight="1">
      <x:c r="AA168" s="1" t="str">
        <x:v>interfor</x:v>
      </x:c>
      <x:c r="AB168" s="1" t="n">
        <x:v>55</x:v>
      </x:c>
      <x:c r="AC168" s="1" t="n">
        <x:v>55</x:v>
      </x:c>
      <x:c r="AD168" s="18" t="str">
        <x:v>(2) These values do not represent the actual value of the payout which will be received after the maturity date of the award. They are calculated by:</x:v>
      </x:c>
    </x:row>
    <x:row r="169" ht="28" customHeight="1">
      <x:c r="AA169" s="1" t="str">
        <x:v>interfor</x:v>
      </x:c>
      <x:c r="AB169" s="1" t="n">
        <x:v>55</x:v>
      </x:c>
      <x:c r="AC169" s="1" t="n">
        <x:v>56</x:v>
      </x:c>
      <x:c r="AD169" s="18" t="str">
        <x:v>(a) multiplying the target number of PSUs granted and not yet vested, by the pay performance percentage calculated as of December 31, 2025 and</x:v>
      </x:c>
    </x:row>
    <x:row r="170" ht="28" customHeight="1">
      <x:c r="AA170" s="1" t="str">
        <x:v>interfor</x:v>
      </x:c>
      <x:c r="AB170" s="1" t="n">
        <x:v>55</x:v>
      </x:c>
      <x:c r="AC170" s="1" t="n">
        <x:v>57</x:v>
      </x:c>
      <x:c r="AD170" s="18" t="str">
        <x:v>by the Market value of the Shares at December 31, 2025; and (b) multiplying the target number of RSUs granted and not yet vested, by the Market</x:v>
      </x:c>
    </x:row>
    <x:row r="171" ht="28" customHeight="1">
      <x:c r="AA171" s="1" t="str">
        <x:v>interfor</x:v>
      </x:c>
      <x:c r="AB171" s="1" t="n">
        <x:v>55</x:v>
      </x:c>
      <x:c r="AC171" s="1" t="n">
        <x:v>58</x:v>
      </x:c>
      <x:c r="AD171" s="18" t="str">
        <x:v>value of the Shares at December 31, 2025. The Market Value of the Shares at December 31, 2025 was $8.27.</x:v>
      </x:c>
    </x:row>
    <x:row r="172" ht="28" customHeight="1">
      <x:c r="AA172" s="1" t="str">
        <x:v>interfor</x:v>
      </x:c>
      <x:c r="AB172" s="1" t="n">
        <x:v>55</x:v>
      </x:c>
      <x:c r="AC172" s="1" t="n">
        <x:v>59</x:v>
      </x:c>
      <x:c r="AD172" s="18" t="str">
        <x:v>(3) These values reflect the value of DSUs held at December 31, 2025, calculated by multiplying the number of DSUs held by $8.33, being the Fair</x:v>
      </x:c>
    </x:row>
    <x:row r="173" ht="28" customHeight="1">
      <x:c r="AA173" s="1" t="str">
        <x:v>interfor</x:v>
      </x:c>
      <x:c r="AB173" s="1" t="n">
        <x:v>55</x:v>
      </x:c>
      <x:c r="AC173" s="1" t="n">
        <x:v>60</x:v>
      </x:c>
      <x:c r="AD173" s="18" t="str">
        <x:v>Market Value of the Shares as at December 31, 2025. These DSUs vested immediately upon grant or over a term determined by the MRCC but can</x:v>
      </x:c>
    </x:row>
    <x:row r="174" ht="28" customHeight="1">
      <x:c r="AA174" s="1" t="str">
        <x:v>interfor</x:v>
      </x:c>
      <x:c r="AB174" s="1" t="n">
        <x:v>55</x:v>
      </x:c>
      <x:c r="AC174" s="1" t="n">
        <x:v>61</x:v>
      </x:c>
      <x:c r="AD174" s="18" t="str">
        <x:v>only be redeemed when a termination of position has occurred. The number of DSUs held by the Named Executive Officers at December 31, 2025</x:v>
      </x:c>
    </x:row>
    <x:row r="175" ht="28" customHeight="1">
      <x:c r="AA175" s="1" t="str">
        <x:v>interfor</x:v>
      </x:c>
      <x:c r="AB175" s="1" t="n">
        <x:v>55</x:v>
      </x:c>
      <x:c r="AC175" s="1" t="n">
        <x:v>62</x:v>
      </x:c>
      <x:c r="AD175" s="18" t="str">
        <x:v>is shown on page 52 of this Information Circular.</x:v>
      </x:c>
    </x:row>
    <x:row r="176" ht="28" customHeight="1">
      <x:c r="AA176" s="1" t="str">
        <x:v>interfor</x:v>
      </x:c>
      <x:c r="AB176" s="1" t="n">
        <x:v>55</x:v>
      </x:c>
      <x:c r="AC176" s="1" t="n">
        <x:v>63</x:v>
      </x:c>
      <x:c r="AD176" s="18" t="str">
        <x:v>(4) Based on the closing sale price of the Common Stock on December 31, 2025 of $8.56 per share.</x:v>
      </x:c>
    </x:row>
    <x:row r="177" ht="28" customHeight="1">
      <x:c r="AA177" s="1" t="str">
        <x:v>interfor</x:v>
      </x:c>
      <x:c r="AB177" s="1" t="n">
        <x:v>55</x:v>
      </x:c>
      <x:c r="AC177" s="1" t="n">
        <x:v>64</x:v>
      </x:c>
      <x:c r="AD177" s="18" t="str">
        <x:v>INTERFOR 2026 54</x:v>
      </x:c>
    </x:row>
    <x:row r="178" ht="28" customHeight="1">
      <x:c r="AA178" s="1" t="str">
        <x:v>interfor</x:v>
      </x:c>
      <x:c r="AB178" s="1" t="n">
        <x:v>55</x:v>
      </x:c>
      <x:c r="AC178" s="1" t="n">
        <x:v>65</x:v>
      </x:c>
      <x:c r="AD178" s="18" t="str">
        <x:v>Information Circular</x:v>
      </x:c>
    </x:row>
    <x:row r="179" ht="28" customHeight="1">
      <x:c r="AA179" s="1" t="str">
        <x:v>interfor_financials</x:v>
      </x:c>
      <x:c r="AB179" s="1" t="n">
        <x:v>8</x:v>
      </x:c>
      <x:c r="AC179" s="1" t="n">
        <x:v>1</x:v>
      </x:c>
      <x:c r="AD179" s="18" t="str">
        <x:v>Interfor Corporation</x:v>
      </x:c>
    </x:row>
    <x:row r="180" ht="28" customHeight="1">
      <x:c r="AA180" s="1" t="str">
        <x:v>interfor_financials</x:v>
      </x:c>
      <x:c r="AB180" s="1" t="n">
        <x:v>8</x:v>
      </x:c>
      <x:c r="AC180" s="1" t="n">
        <x:v>2</x:v>
      </x:c>
      <x:c r="AD180" s="18" t="str">
        <x:v>Consolidated Statements of Earnings</x:v>
      </x:c>
    </x:row>
    <x:row r="181" ht="28" customHeight="1">
      <x:c r="AA181" s="1" t="str">
        <x:v>interfor_financials</x:v>
      </x:c>
      <x:c r="AB181" s="1" t="n">
        <x:v>8</x:v>
      </x:c>
      <x:c r="AC181" s="1" t="n">
        <x:v>3</x:v>
      </x:c>
      <x:c r="AD181" s="18" t="str">
        <x:v>(Expressed in millions of Canadian Dollars, except per share amounts)</x:v>
      </x:c>
    </x:row>
    <x:row r="182" ht="28" customHeight="1">
      <x:c r="AA182" s="1" t="str">
        <x:v>interfor_financials</x:v>
      </x:c>
      <x:c r="AB182" s="1" t="n">
        <x:v>8</x:v>
      </x:c>
      <x:c r="AC182" s="1" t="n">
        <x:v>4</x:v>
      </x:c>
      <x:c r="AD182" s="18" t="str">
        <x:v>Years ended December 31, 2025 and 2024</x:v>
      </x:c>
    </x:row>
    <x:row r="183" ht="28" customHeight="1">
      <x:c r="AA183" s="1" t="str">
        <x:v>interfor_financials</x:v>
      </x:c>
      <x:c r="AB183" s="1" t="n">
        <x:v>8</x:v>
      </x:c>
      <x:c r="AC183" s="1" t="n">
        <x:v>5</x:v>
      </x:c>
      <x:c r="AD183" s="18" t="str">
        <x:v>Note 2025 2024</x:v>
      </x:c>
    </x:row>
    <x:row r="184" ht="28" customHeight="1">
      <x:c r="AA184" s="1" t="str">
        <x:v>interfor_financials</x:v>
      </x:c>
      <x:c r="AB184" s="1" t="n">
        <x:v>8</x:v>
      </x:c>
      <x:c r="AC184" s="1" t="n">
        <x:v>6</x:v>
      </x:c>
      <x:c r="AD184" s="18" t="str">
        <x:v>Sales 24 $ 2,805.9 $ 3,023.6</x:v>
      </x:c>
    </x:row>
    <x:row r="185" ht="28" customHeight="1">
      <x:c r="AA185" s="1" t="str">
        <x:v>interfor_financials</x:v>
      </x:c>
      <x:c r="AB185" s="1" t="n">
        <x:v>8</x:v>
      </x:c>
      <x:c r="AC185" s="1" t="n">
        <x:v>7</x:v>
      </x:c>
      <x:c r="AD185" s="18" t="str">
        <x:v>Costs and expenses:</x:v>
      </x:c>
    </x:row>
    <x:row r="186" ht="28" customHeight="1">
      <x:c r="AA186" s="1" t="str">
        <x:v>interfor_financials</x:v>
      </x:c>
      <x:c r="AB186" s="1" t="n">
        <x:v>8</x:v>
      </x:c>
      <x:c r="AC186" s="1" t="n">
        <x:v>8</x:v>
      </x:c>
      <x:c r="AD186" s="18" t="str">
        <x:v>Production 2,620.0 2,911.4</x:v>
      </x:c>
    </x:row>
    <x:row r="187" ht="28" customHeight="1">
      <x:c r="AA187" s="1" t="str">
        <x:v>interfor_financials</x:v>
      </x:c>
      <x:c r="AB187" s="1" t="n">
        <x:v>8</x:v>
      </x:c>
      <x:c r="AC187" s="1" t="n">
        <x:v>9</x:v>
      </x:c>
      <x:c r="AD187" s="18" t="str">
        <x:v>Selling and administration 61.6 61.2</x:v>
      </x:c>
    </x:row>
    <x:row r="188" ht="28" customHeight="1">
      <x:c r="AA188" s="1" t="str">
        <x:v>interfor_financials</x:v>
      </x:c>
      <x:c r="AB188" s="1" t="n">
        <x:v>8</x:v>
      </x:c>
      <x:c r="AC188" s="1" t="n">
        <x:v>10</x:v>
      </x:c>
      <x:c r="AD188" s="18" t="str">
        <x:v>Long-term incentive compensation recovery 12, 13(b) (2.8) (1.8)</x:v>
      </x:c>
    </x:row>
    <x:row r="189" ht="28" customHeight="1">
      <x:c r="AA189" s="1" t="str">
        <x:v>interfor_financials</x:v>
      </x:c>
      <x:c r="AB189" s="1" t="n">
        <x:v>8</x:v>
      </x:c>
      <x:c r="AC189" s="1" t="n">
        <x:v>11</x:v>
      </x:c>
      <x:c r="AD189" s="18" t="str">
        <x:v>Export duties and tariffs 21 271.5 31.6</x:v>
      </x:c>
    </x:row>
    <x:row r="190" ht="28" customHeight="1">
      <x:c r="AA190" s="1" t="str">
        <x:v>interfor_financials</x:v>
      </x:c>
      <x:c r="AB190" s="1" t="n">
        <x:v>8</x:v>
      </x:c>
      <x:c r="AC190" s="1" t="n">
        <x:v>12</x:v>
      </x:c>
      <x:c r="AD190" s="18" t="str">
        <x:v>Depreciation of plant and equipment 7, 14 149.1 177.5</x:v>
      </x:c>
    </x:row>
    <x:row r="191" ht="28" customHeight="1">
      <x:c r="AA191" s="1" t="str">
        <x:v>interfor_financials</x:v>
      </x:c>
      <x:c r="AB191" s="1" t="n">
        <x:v>8</x:v>
      </x:c>
      <x:c r="AC191" s="1" t="n">
        <x:v>13</x:v>
      </x:c>
      <x:c r="AD191" s="18" t="str">
        <x:v>Depletion and amortization of timber, roads and other 6, 8, 14 34.3 41.8</x:v>
      </x:c>
    </x:row>
    <x:row r="192" ht="28" customHeight="1">
      <x:c r="AA192" s="1" t="str">
        <x:v>interfor_financials</x:v>
      </x:c>
      <x:c r="AB192" s="1" t="n">
        <x:v>8</x:v>
      </x:c>
      <x:c r="AC192" s="1" t="n">
        <x:v>14</x:v>
      </x:c>
      <x:c r="AD192" s="18" t="str">
        <x:v>3,133.7 3,221.7</x:v>
      </x:c>
    </x:row>
    <x:row r="193" ht="28" customHeight="1">
      <x:c r="AA193" s="1" t="str">
        <x:v>interfor_financials</x:v>
      </x:c>
      <x:c r="AB193" s="1" t="n">
        <x:v>8</x:v>
      </x:c>
      <x:c r="AC193" s="1" t="n">
        <x:v>15</x:v>
      </x:c>
      <x:c r="AD193" s="18" t="str">
        <x:v>Operating loss before asset write-downs and</x:v>
      </x:c>
    </x:row>
    <x:row r="194" ht="28" customHeight="1">
      <x:c r="AA194" s="1" t="str">
        <x:v>interfor_financials</x:v>
      </x:c>
      <x:c r="AB194" s="1" t="n">
        <x:v>8</x:v>
      </x:c>
      <x:c r="AC194" s="1" t="n">
        <x:v>16</x:v>
      </x:c>
      <x:c r="AD194" s="18" t="str">
        <x:v>restructuring costs (327.8) (198.1)</x:v>
      </x:c>
    </x:row>
    <x:row r="195" ht="28" customHeight="1">
      <x:c r="AA195" s="1" t="str">
        <x:v>interfor_financials</x:v>
      </x:c>
      <x:c r="AB195" s="1" t="n">
        <x:v>8</x:v>
      </x:c>
      <x:c r="AC195" s="1" t="n">
        <x:v>17</x:v>
      </x:c>
      <x:c r="AD195" s="18" t="str">
        <x:v>Asset write-downs and restructuring costs 16 (79.1) (93.1)</x:v>
      </x:c>
    </x:row>
    <x:row r="196" ht="28" customHeight="1">
      <x:c r="AA196" s="1" t="str">
        <x:v>interfor_financials</x:v>
      </x:c>
      <x:c r="AB196" s="1" t="n">
        <x:v>8</x:v>
      </x:c>
      <x:c r="AC196" s="1" t="n">
        <x:v>18</x:v>
      </x:c>
      <x:c r="AD196" s="18" t="str">
        <x:v>Operating loss (406.9) (291.2)</x:v>
      </x:c>
    </x:row>
    <x:row r="197" ht="28" customHeight="1">
      <x:c r="AA197" s="1" t="str">
        <x:v>interfor_financials</x:v>
      </x:c>
      <x:c r="AB197" s="1" t="n">
        <x:v>8</x:v>
      </x:c>
      <x:c r="AC197" s="1" t="n">
        <x:v>19</x:v>
      </x:c>
      <x:c r="AD197" s="18" t="str">
        <x:v>Finance costs 17 (71.5) (44.6)</x:v>
      </x:c>
    </x:row>
    <x:row r="198" ht="28" customHeight="1">
      <x:c r="AA198" s="1" t="str">
        <x:v>interfor_financials</x:v>
      </x:c>
      <x:c r="AB198" s="1" t="n">
        <x:v>8</x:v>
      </x:c>
      <x:c r="AC198" s="1" t="n">
        <x:v>20</x:v>
      </x:c>
      <x:c r="AD198" s="18" t="str">
        <x:v>Other foreign exchange gain (loss) 27(d)(iii) 32.5 (56.3)</x:v>
      </x:c>
    </x:row>
    <x:row r="199" ht="28" customHeight="1">
      <x:c r="AA199" s="1" t="str">
        <x:v>interfor_financials</x:v>
      </x:c>
      <x:c r="AB199" s="1" t="n">
        <x:v>8</x:v>
      </x:c>
      <x:c r="AC199" s="1" t="n">
        <x:v>21</x:v>
      </x:c>
      <x:c r="AD199" s="18" t="str">
        <x:v>Other income (expense) 18 (14.8) 35.9</x:v>
      </x:c>
    </x:row>
    <x:row r="200" ht="28" customHeight="1">
      <x:c r="AA200" s="1" t="str">
        <x:v>interfor_financials</x:v>
      </x:c>
      <x:c r="AB200" s="1" t="n">
        <x:v>8</x:v>
      </x:c>
      <x:c r="AC200" s="1" t="n">
        <x:v>22</x:v>
      </x:c>
      <x:c r="AD200" s="18" t="str">
        <x:v>(53.8) (65.0)</x:v>
      </x:c>
    </x:row>
    <x:row r="201" ht="28" customHeight="1">
      <x:c r="AA201" s="1" t="str">
        <x:v>interfor_financials</x:v>
      </x:c>
      <x:c r="AB201" s="1" t="n">
        <x:v>8</x:v>
      </x:c>
      <x:c r="AC201" s="1" t="n">
        <x:v>23</x:v>
      </x:c>
      <x:c r="AD201" s="18" t="str">
        <x:v>Loss before income taxes (460.7) (356.2)</x:v>
      </x:c>
    </x:row>
    <x:row r="202" ht="28" customHeight="1">
      <x:c r="AA202" s="1" t="str">
        <x:v>interfor_financials</x:v>
      </x:c>
      <x:c r="AB202" s="1" t="n">
        <x:v>8</x:v>
      </x:c>
      <x:c r="AC202" s="1" t="n">
        <x:v>24</x:v>
      </x:c>
      <x:c r="AD202" s="18" t="str">
        <x:v>Income tax expense (recovery) 19</x:v>
      </x:c>
    </x:row>
    <x:row r="203" ht="28" customHeight="1">
      <x:c r="AA203" s="1" t="str">
        <x:v>interfor_financials</x:v>
      </x:c>
      <x:c r="AB203" s="1" t="n">
        <x:v>8</x:v>
      </x:c>
      <x:c r="AC203" s="1" t="n">
        <x:v>25</x:v>
      </x:c>
      <x:c r="AD203" s="18" t="str">
        <x:v>Current 3.2 12.0</x:v>
      </x:c>
    </x:row>
    <x:row r="204" ht="28" customHeight="1">
      <x:c r="AA204" s="1" t="str">
        <x:v>interfor_financials</x:v>
      </x:c>
      <x:c r="AB204" s="1" t="n">
        <x:v>8</x:v>
      </x:c>
      <x:c r="AC204" s="1" t="n">
        <x:v>26</x:v>
      </x:c>
      <x:c r="AD204" s="18" t="str">
        <x:v>Deferred (119.5) (63.9)</x:v>
      </x:c>
    </x:row>
    <x:row r="205" ht="28" customHeight="1">
      <x:c r="AA205" s="1" t="str">
        <x:v>interfor_financials</x:v>
      </x:c>
      <x:c r="AB205" s="1" t="n">
        <x:v>8</x:v>
      </x:c>
      <x:c r="AC205" s="1" t="n">
        <x:v>27</x:v>
      </x:c>
      <x:c r="AD205" s="18" t="str">
        <x:v>(116.3) (51.9)</x:v>
      </x:c>
    </x:row>
    <x:row r="206" ht="28" customHeight="1">
      <x:c r="AA206" s="1" t="str">
        <x:v>interfor_financials</x:v>
      </x:c>
      <x:c r="AB206" s="1" t="n">
        <x:v>8</x:v>
      </x:c>
      <x:c r="AC206" s="1" t="n">
        <x:v>28</x:v>
      </x:c>
      <x:c r="AD206" s="18" t="str">
        <x:v>Net loss $ (344.4) $ (304.3)</x:v>
      </x:c>
    </x:row>
    <x:row r="207" ht="28" customHeight="1">
      <x:c r="AA207" s="1" t="str">
        <x:v>interfor_financials</x:v>
      </x:c>
      <x:c r="AB207" s="1" t="n">
        <x:v>8</x:v>
      </x:c>
      <x:c r="AC207" s="1" t="n">
        <x:v>29</x:v>
      </x:c>
      <x:c r="AD207" s="18" t="str">
        <x:v>Net loss per share 20</x:v>
      </x:c>
    </x:row>
    <x:row r="208" ht="28" customHeight="1">
      <x:c r="AA208" s="1" t="str">
        <x:v>interfor_financials</x:v>
      </x:c>
      <x:c r="AB208" s="1" t="n">
        <x:v>8</x:v>
      </x:c>
      <x:c r="AC208" s="1" t="n">
        <x:v>30</x:v>
      </x:c>
      <x:c r="AD208" s="18" t="str">
        <x:v>Basic $ (6.26) $ (5.91)</x:v>
      </x:c>
    </x:row>
    <x:row r="209" ht="28" customHeight="1">
      <x:c r="AA209" s="1" t="str">
        <x:v>interfor_financials</x:v>
      </x:c>
      <x:c r="AB209" s="1" t="n">
        <x:v>8</x:v>
      </x:c>
      <x:c r="AC209" s="1" t="n">
        <x:v>31</x:v>
      </x:c>
      <x:c r="AD209" s="18" t="str">
        <x:v>Diluted $ (6.26) $ (5.91)</x:v>
      </x:c>
    </x:row>
    <x:row r="210" ht="28" customHeight="1">
      <x:c r="AA210" s="1" t="str">
        <x:v>interfor_financials</x:v>
      </x:c>
      <x:c r="AB210" s="1" t="n">
        <x:v>8</x:v>
      </x:c>
      <x:c r="AC210" s="1" t="n">
        <x:v>32</x:v>
      </x:c>
      <x:c r="AD210" s="18" t="str">
        <x:v>See accompanying notes to consolidated financial statements.</x:v>
      </x:c>
    </x:row>
    <x:row r="211" ht="28" customHeight="1">
      <x:c r="AA211" s="1" t="str">
        <x:v>interfor_financials</x:v>
      </x:c>
      <x:c r="AB211" s="1" t="n">
        <x:v>8</x:v>
      </x:c>
      <x:c r="AC211" s="1" t="n">
        <x:v>33</x:v>
      </x:c>
      <x:c r="AD211" s="18" t="str">
        <x:v>8</x:v>
      </x:c>
    </x:row>
    <x:row r="212" ht="28" customHeight="1">
      <x:c r="AA212" s="1" t="str">
        <x:v>methanex</x:v>
      </x:c>
      <x:c r="AB212" s="1" t="n">
        <x:v>89</x:v>
      </x:c>
      <x:c r="AC212" s="1" t="n">
        <x:v>1</x:v>
      </x:c>
      <x:c r="AD212" s="18" t="str">
        <x:v>Introduction Voting Business of the Meeting About the Directors Corporate Governance Compensation Other Information</x:v>
      </x:c>
    </x:row>
    <x:row r="213" ht="28" customHeight="1">
      <x:c r="AA213" s="1" t="str">
        <x:v>methanex</x:v>
      </x:c>
      <x:c r="AB213" s="1" t="n">
        <x:v>89</x:v>
      </x:c>
      <x:c r="AC213" s="1" t="n">
        <x:v>2</x:v>
      </x:c>
      <x:c r="AD213" s="18" t="str">
        <x:v>Statement of executive compensation</x:v>
      </x:c>
    </x:row>
    <x:row r="214" ht="28" customHeight="1">
      <x:c r="AA214" s="1" t="str">
        <x:v>methanex</x:v>
      </x:c>
      <x:c r="AB214" s="1" t="n">
        <x:v>89</x:v>
      </x:c>
      <x:c r="AC214" s="1" t="n">
        <x:v>3</x:v>
      </x:c>
      <x:c r="AD214" s="18" t="str">
        <x:v>All amounts in this section “Statement of Executive Compensation” are in Canadian dollars except where</x:v>
      </x:c>
    </x:row>
    <x:row r="215" ht="28" customHeight="1">
      <x:c r="AA215" s="1" t="str">
        <x:v>methanex</x:v>
      </x:c>
      <x:c r="AB215" s="1" t="n">
        <x:v>89</x:v>
      </x:c>
      <x:c r="AC215" s="1" t="n">
        <x:v>4</x:v>
      </x:c>
      <x:c r="AD215" s="18" t="str">
        <x:v>otherwise noted.</x:v>
      </x:c>
    </x:row>
    <x:row r="216" ht="28" customHeight="1">
      <x:c r="AA216" s="1" t="str">
        <x:v>methanex</x:v>
      </x:c>
      <x:c r="AB216" s="1" t="n">
        <x:v>89</x:v>
      </x:c>
      <x:c r="AC216" s="1" t="n">
        <x:v>5</x:v>
      </x:c>
      <x:c r="AD216" s="18" t="str">
        <x:v>Summary compensation</x:v>
      </x:c>
    </x:row>
    <x:row r="217" ht="28" customHeight="1">
      <x:c r="AA217" s="1" t="str">
        <x:v>methanex</x:v>
      </x:c>
      <x:c r="AB217" s="1" t="n">
        <x:v>89</x:v>
      </x:c>
      <x:c r="AC217" s="1" t="n">
        <x:v>6</x:v>
      </x:c>
      <x:c r="AD217" s="18" t="str">
        <x:v>The following table sets forth a summary of compensation earned during the last three years by the Company’s NEOs.</x:v>
      </x:c>
    </x:row>
    <x:row r="218" ht="28" customHeight="1">
      <x:c r="AA218" s="1" t="str">
        <x:v>methanex</x:v>
      </x:c>
      <x:c r="AB218" s="1" t="n">
        <x:v>89</x:v>
      </x:c>
      <x:c r="AC218" s="1" t="n">
        <x:v>7</x:v>
      </x:c>
      <x:c r="AD218" s="18" t="str">
        <x:v>SUMMARY COMPENSATION TABLE</x:v>
      </x:c>
    </x:row>
    <x:row r="219" ht="28" customHeight="1">
      <x:c r="AA219" s="1" t="str">
        <x:v>methanex</x:v>
      </x:c>
      <x:c r="AB219" s="1" t="n">
        <x:v>89</x:v>
      </x:c>
      <x:c r="AC219" s="1" t="n">
        <x:v>8</x:v>
      </x:c>
      <x:c r="AD219" s="18" t="str">
        <x:v>Non-Equity Incentive</x:v>
      </x:c>
    </x:row>
    <x:row r="220" ht="28" customHeight="1">
      <x:c r="AA220" s="1" t="str">
        <x:v>methanex</x:v>
      </x:c>
      <x:c r="AB220" s="1" t="n">
        <x:v>89</x:v>
      </x:c>
      <x:c r="AC220" s="1" t="n">
        <x:v>9</x:v>
      </x:c>
      <x:c r="AD220" s="18" t="str">
        <x:v>Plan Compensation</x:v>
      </x:c>
    </x:row>
    <x:row r="221" ht="28" customHeight="1">
      <x:c r="AA221" s="1" t="str">
        <x:v>methanex</x:v>
      </x:c>
      <x:c r="AB221" s="1" t="n">
        <x:v>89</x:v>
      </x:c>
      <x:c r="AC221" s="1" t="n">
        <x:v>10</x:v>
      </x:c>
      <x:c r="AD221" s="18" t="str">
        <x:v>Share- Option- Annual Long- All Other Total</x:v>
      </x:c>
    </x:row>
    <x:row r="222" ht="28" customHeight="1">
      <x:c r="AA222" s="1" t="str">
        <x:v>methanex</x:v>
      </x:c>
      <x:c r="AB222" s="1" t="n">
        <x:v>89</x:v>
      </x:c>
      <x:c r="AC222" s="1" t="n">
        <x:v>11</x:v>
      </x:c>
      <x:c r="AD222" s="18" t="str">
        <x:v>Name and Base Based Based Incentive Term Pension Compen- Compen-</x:v>
      </x:c>
    </x:row>
    <x:row r="223" ht="28" customHeight="1">
      <x:c r="AA223" s="1" t="str">
        <x:v>methanex</x:v>
      </x:c>
      <x:c r="AB223" s="1" t="n">
        <x:v>89</x:v>
      </x:c>
      <x:c r="AC223" s="1" t="n">
        <x:v>12</x:v>
      </x:c>
      <x:c r="AD223" s="18" t="str">
        <x:v>Principal Salary(2) Awards(3) Awards(4) Plans(5) Incentive Value(6) sation(7) sation</x:v>
      </x:c>
    </x:row>
    <x:row r="224" ht="28" customHeight="1">
      <x:c r="AA224" s="1" t="str">
        <x:v>methanex</x:v>
      </x:c>
      <x:c r="AB224" s="1" t="n">
        <x:v>89</x:v>
      </x:c>
      <x:c r="AC224" s="1" t="n">
        <x:v>13</x:v>
      </x:c>
      <x:c r="AD224" s="18" t="str">
        <x:v>Position Year ($) ($) ($) ($) Plans ($) ($) ($)</x:v>
      </x:c>
    </x:row>
    <x:row r="225" ht="28" customHeight="1">
      <x:c r="AA225" s="1" t="str">
        <x:v>methanex</x:v>
      </x:c>
      <x:c r="AB225" s="1" t="n">
        <x:v>89</x:v>
      </x:c>
      <x:c r="AC225" s="1" t="n">
        <x:v>14</x:v>
      </x:c>
      <x:c r="AD225" s="18" t="str">
        <x:v>Rich Sumner 2025 1,212,500 2,613,160 2,610,902 1,985,000 — 300,094 140,078 8,861,734</x:v>
      </x:c>
    </x:row>
    <x:row r="226" ht="28" customHeight="1">
      <x:c r="AA226" s="1" t="str">
        <x:v>methanex</x:v>
      </x:c>
      <x:c r="AB226" s="1" t="n">
        <x:v>89</x:v>
      </x:c>
      <x:c r="AC226" s="1" t="n">
        <x:v>15</x:v>
      </x:c>
      <x:c r="AD226" s="18" t="str">
        <x:v>President &amp; CEO 2024 1,082,500 2,414,262 2,412,898 1,583,000 — 267,919 230,795 7,991,374</x:v>
      </x:c>
    </x:row>
    <x:row r="227" ht="28" customHeight="1">
      <x:c r="AA227" s="1" t="str">
        <x:v>methanex</x:v>
      </x:c>
      <x:c r="AB227" s="1" t="n">
        <x:v>89</x:v>
      </x:c>
      <x:c r="AC227" s="1" t="n">
        <x:v>16</x:v>
      </x:c>
      <x:c r="AD227" s="18" t="str">
        <x:v>2023 1,030,000 2,131,596 2,131,432 1,300,000 — 254,925 168,603 7,016,556</x:v>
      </x:c>
    </x:row>
    <x:row r="228" ht="28" customHeight="1">
      <x:c r="AA228" s="1" t="str">
        <x:v>methanex</x:v>
      </x:c>
      <x:c r="AB228" s="1" t="n">
        <x:v>89</x:v>
      </x:c>
      <x:c r="AC228" s="1" t="n">
        <x:v>17</x:v>
      </x:c>
      <x:c r="AD228" s="18" t="str">
        <x:v>Dean Richardson 2025 661,500 754,253 756,711 650,000 — 127,339 101,757 3,051,560</x:v>
      </x:c>
    </x:row>
    <x:row r="229" ht="28" customHeight="1">
      <x:c r="AA229" s="1" t="str">
        <x:v>methanex</x:v>
      </x:c>
      <x:c r="AB229" s="1" t="n">
        <x:v>89</x:v>
      </x:c>
      <x:c r="AC229" s="1" t="n">
        <x:v>18</x:v>
      </x:c>
      <x:c r="AD229" s="18" t="str">
        <x:v>Senior VP, Finance 2024 618,000 623,589 623,848 542,000 — 118,965 191,272 2,717,674</x:v>
      </x:c>
    </x:row>
    <x:row r="230" ht="28" customHeight="1">
      <x:c r="AA230" s="1" t="str">
        <x:v>methanex</x:v>
      </x:c>
      <x:c r="AB230" s="1" t="n">
        <x:v>89</x:v>
      </x:c>
      <x:c r="AC230" s="1" t="n">
        <x:v>19</x:v>
      </x:c>
      <x:c r="AD230" s="18" t="str">
        <x:v>&amp; CFO 2023 584,167 592,110 589,202 369,000 — 111,325 209,642 2,455,446</x:v>
      </x:c>
    </x:row>
    <x:row r="231" ht="28" customHeight="1">
      <x:c r="AA231" s="1" t="str">
        <x:v>methanex</x:v>
      </x:c>
      <x:c r="AB231" s="1" t="n">
        <x:v>89</x:v>
      </x:c>
      <x:c r="AC231" s="1" t="n">
        <x:v>20</x:v>
      </x:c>
      <x:c r="AD231" s="18" t="str">
        <x:v>Gustavo Parra(1) 2025 607,903 570,144 571,291 494,000 — 95,952 1,318,090 3,657,380</x:v>
      </x:c>
    </x:row>
    <x:row r="232" ht="28" customHeight="1">
      <x:c r="AA232" s="1" t="str">
        <x:v>methanex</x:v>
      </x:c>
      <x:c r="AB232" s="1" t="n">
        <x:v>89</x:v>
      </x:c>
      <x:c r="AC232" s="1" t="n">
        <x:v>21</x:v>
      </x:c>
      <x:c r="AD232" s="18" t="str">
        <x:v>Senior VP, 2024 553,971 463,401 464,019 454,000 — 48,290 614,996 2,598,678</x:v>
      </x:c>
    </x:row>
    <x:row r="233" ht="28" customHeight="1">
      <x:c r="AA233" s="1" t="str">
        <x:v>methanex</x:v>
      </x:c>
      <x:c r="AB233" s="1" t="n">
        <x:v>89</x:v>
      </x:c>
      <x:c r="AC233" s="1" t="n">
        <x:v>22</x:v>
      </x:c>
      <x:c r="AD233" s="18" t="str">
        <x:v>Manufacturing</x:v>
      </x:c>
    </x:row>
    <x:row r="234" ht="28" customHeight="1">
      <x:c r="AA234" s="1" t="str">
        <x:v>methanex</x:v>
      </x:c>
      <x:c r="AB234" s="1" t="n">
        <x:v>89</x:v>
      </x:c>
      <x:c r="AC234" s="1" t="n">
        <x:v>23</x:v>
      </x:c>
      <x:c r="AD234" s="18" t="str">
        <x:v>2023 583,250 431,892 431,438 351,000 — 51,228 531,666 2,380,474</x:v>
      </x:c>
    </x:row>
    <x:row r="235" ht="28" customHeight="1">
      <x:c r="AA235" s="1" t="str">
        <x:v>methanex</x:v>
      </x:c>
      <x:c r="AB235" s="1" t="n">
        <x:v>89</x:v>
      </x:c>
      <x:c r="AC235" s="1" t="n">
        <x:v>24</x:v>
      </x:c>
      <x:c r="AD235" s="18" t="str">
        <x:v>Karine Delbarre(1) 2025 572,595 540,449 538,718 465,000 — 95,654 581,924 2,794,340</x:v>
      </x:c>
    </x:row>
    <x:row r="236" ht="28" customHeight="1">
      <x:c r="AA236" s="1" t="str">
        <x:v>methanex</x:v>
      </x:c>
      <x:c r="AB236" s="1" t="n">
        <x:v>89</x:v>
      </x:c>
      <x:c r="AC236" s="1" t="n">
        <x:v>25</x:v>
      </x:c>
      <x:c r="AD236" s="18" t="str">
        <x:v>Senior VP, Global 2024 526,974 440,517 440,818 376,000 — 47,627 1,081,768 2,913,704</x:v>
      </x:c>
    </x:row>
    <x:row r="237" ht="28" customHeight="1">
      <x:c r="AA237" s="1" t="str">
        <x:v>methanex</x:v>
      </x:c>
      <x:c r="AB237" s="1" t="n">
        <x:v>89</x:v>
      </x:c>
      <x:c r="AC237" s="1" t="n">
        <x:v>26</x:v>
      </x:c>
      <x:c r="AD237" s="18" t="str">
        <x:v>Marketing &amp; Logistics</x:v>
      </x:c>
    </x:row>
    <x:row r="238" ht="28" customHeight="1">
      <x:c r="AA238" s="1" t="str">
        <x:v>methanex</x:v>
      </x:c>
      <x:c r="AB238" s="1" t="n">
        <x:v>89</x:v>
      </x:c>
      <x:c r="AC238" s="1" t="n">
        <x:v>27</x:v>
      </x:c>
      <x:c r="AD238" s="18" t="str">
        <x:v>2023 500,000 417,960 415,339 249,000 — 99,319 625,233 2,306,851</x:v>
      </x:c>
    </x:row>
    <x:row r="239" ht="28" customHeight="1">
      <x:c r="AA239" s="1" t="str">
        <x:v>methanex</x:v>
      </x:c>
      <x:c r="AB239" s="1" t="n">
        <x:v>89</x:v>
      </x:c>
      <x:c r="AC239" s="1" t="n">
        <x:v>28</x:v>
      </x:c>
      <x:c r="AD239" s="18" t="str">
        <x:v>Kevin Maloney 2025 609,750 635,473 633,933 495,000 — 114,023 100,004 2,588,183</x:v>
      </x:c>
    </x:row>
    <x:row r="240" ht="28" customHeight="1">
      <x:c r="AA240" s="1" t="str">
        <x:v>methanex</x:v>
      </x:c>
      <x:c r="AB240" s="1" t="n">
        <x:v>89</x:v>
      </x:c>
      <x:c r="AC240" s="1" t="n">
        <x:v>29</x:v>
      </x:c>
      <x:c r="AD240" s="18" t="str">
        <x:v>Senior VP, Corporate 2024 555,250 474,843 474,330 455,000 — 103,832 107,747 2,171,002</x:v>
      </x:c>
    </x:row>
    <x:row r="241" ht="28" customHeight="1">
      <x:c r="AA241" s="1" t="str">
        <x:v>methanex</x:v>
      </x:c>
      <x:c r="AB241" s="1" t="n">
        <x:v>89</x:v>
      </x:c>
      <x:c r="AC241" s="1" t="n">
        <x:v>30</x:v>
      </x:c>
      <x:c r="AD241" s="18" t="str">
        <x:v>Development 2023 520,000 431,892 431,438 368,000 — 97,240 130,336 1,978,906</x:v>
      </x:c>
    </x:row>
    <x:row r="242" ht="28" customHeight="1">
      <x:c r="AA242" s="1" t="str">
        <x:v>methanex</x:v>
      </x:c>
      <x:c r="AB242" s="1" t="n">
        <x:v>89</x:v>
      </x:c>
      <x:c r="AC242" s="1" t="n">
        <x:v>31</x:v>
      </x:c>
      <x:c r="AD242" s="18" t="str">
        <x:v>(1) Where applicable, Mr. Parra’s amounts have been converted from Chilean pesos (based on the following average annual exchange</x:v>
      </x:c>
    </x:row>
    <x:row r="243" ht="28" customHeight="1">
      <x:c r="AA243" s="1" t="str">
        <x:v>methanex</x:v>
      </x:c>
      <x:c r="AB243" s="1" t="n">
        <x:v>89</x:v>
      </x:c>
      <x:c r="AC243" s="1" t="n">
        <x:v>32</x:v>
      </x:c>
      <x:c r="AD243" s="18" t="str">
        <x:v>rates: 1 CLP = 0.0015 CAD in 2025 and 2024, 1 CLP = 0.0016 CAD in 2023) and Ms. Delbarre’s amounts have been converted from US</x:v>
      </x:c>
    </x:row>
    <x:row r="244" ht="28" customHeight="1">
      <x:c r="AA244" s="1" t="str">
        <x:v>methanex</x:v>
      </x:c>
      <x:c r="AB244" s="1" t="n">
        <x:v>89</x:v>
      </x:c>
      <x:c r="AC244" s="1" t="n">
        <x:v>33</x:v>
      </x:c>
      <x:c r="AD244" s="18" t="str">
        <x:v>dollars (based on the following average annual exchange rates: 1 USD = 1.3978 CAD in 2025, 1 USD = 1.3698 CAD in 2024 and 1 USD =</x:v>
      </x:c>
    </x:row>
    <x:row r="245" ht="28" customHeight="1">
      <x:c r="AA245" s="1" t="str">
        <x:v>methanex</x:v>
      </x:c>
      <x:c r="AB245" s="1" t="n">
        <x:v>89</x:v>
      </x:c>
      <x:c r="AC245" s="1" t="n">
        <x:v>34</x:v>
      </x:c>
      <x:c r="AD245" s="18" t="str">
        <x:v>1.3497 CAD in 2023).</x:v>
      </x:c>
    </x:row>
    <x:row r="246" ht="28" customHeight="1">
      <x:c r="AA246" s="1" t="str">
        <x:v>methanex</x:v>
      </x:c>
      <x:c r="AB246" s="1" t="n">
        <x:v>89</x:v>
      </x:c>
      <x:c r="AC246" s="1" t="n">
        <x:v>35</x:v>
      </x:c>
      <x:c r="AD246" s="18" t="str">
        <x:v>(2) Values in this column reflect base salary from January 1st to December 31st each year. Salary increases are effective from April 1st of</x:v>
      </x:c>
    </x:row>
    <x:row r="247" ht="28" customHeight="1">
      <x:c r="AA247" s="1" t="str">
        <x:v>methanex</x:v>
      </x:c>
      <x:c r="AB247" s="1" t="n">
        <x:v>89</x:v>
      </x:c>
      <x:c r="AC247" s="1" t="n">
        <x:v>36</x:v>
      </x:c>
      <x:c r="AD247" s="18" t="str">
        <x:v>each year.</x:v>
      </x:c>
    </x:row>
    <x:row r="248" ht="28" customHeight="1">
      <x:c r="AA248" s="1" t="str">
        <x:v>methanex</x:v>
      </x:c>
      <x:c r="AB248" s="1" t="n">
        <x:v>89</x:v>
      </x:c>
      <x:c r="AC248" s="1" t="n">
        <x:v>37</x:v>
      </x:c>
      <x:c r="AD248" s="18" t="str">
        <x:v>(3) This column reflects the grant date fair value of PSUs and RSUs granted to NEOs as long-term incentive awards. The grant date fair</x:v>
      </x:c>
    </x:row>
    <x:row r="249" ht="28" customHeight="1">
      <x:c r="AA249" s="1" t="str">
        <x:v>methanex</x:v>
      </x:c>
      <x:c r="AB249" s="1" t="n">
        <x:v>89</x:v>
      </x:c>
      <x:c r="AC249" s="1" t="n">
        <x:v>38</x:v>
      </x:c>
      <x:c r="AD249" s="18" t="str">
        <x:v>value shown in this column is calculated by multiplying the total number of PSUs and RSUs awarded by the closing price of the</x:v>
      </x:c>
    </x:row>
    <x:row r="250" ht="28" customHeight="1">
      <x:c r="AA250" s="1" t="str">
        <x:v>methanex</x:v>
      </x:c>
      <x:c r="AB250" s="1" t="n">
        <x:v>89</x:v>
      </x:c>
      <x:c r="AC250" s="1" t="n">
        <x:v>39</x:v>
      </x:c>
      <x:c r="AD250" s="18" t="str">
        <x:v>Common Shares on the TSX on the day before the PSUs and RSUs were granted (2025: $59.39; 2024: $57.21; 2023: $69.66). This PSU</x:v>
      </x:c>
    </x:row>
    <x:row r="251" ht="28" customHeight="1">
      <x:c r="AA251" s="1" t="str">
        <x:v>methanex</x:v>
      </x:c>
      <x:c r="AB251" s="1" t="n">
        <x:v>89</x:v>
      </x:c>
      <x:c r="AC251" s="1" t="n">
        <x:v>40</x:v>
      </x:c>
      <x:c r="AD251" s="18" t="str">
        <x:v>valuation methodology is different than the accounting fair value. In calculating the accounting fair value, the Company uses the</x:v>
      </x:c>
    </x:row>
    <x:row r="252" ht="28" customHeight="1">
      <x:c r="AA252" s="1" t="str">
        <x:v>methanex</x:v>
      </x:c>
      <x:c r="AB252" s="1" t="n">
        <x:v>89</x:v>
      </x:c>
      <x:c r="AC252" s="1" t="n">
        <x:v>41</x:v>
      </x:c>
      <x:c r="AD252" s="18" t="str">
        <x:v>Monte Carlo pricing model to assign a probability weighted ROCE and relative TSR factor to determine the number of PSUs that</x:v>
      </x:c>
    </x:row>
    <x:row r="253" ht="28" customHeight="1">
      <x:c r="AA253" s="1" t="str">
        <x:v>methanex</x:v>
      </x:c>
      <x:c r="AB253" s="1" t="n">
        <x:v>89</x:v>
      </x:c>
      <x:c r="AC253" s="1" t="n">
        <x:v>42</x:v>
      </x:c>
      <x:c r="AD253" s="18" t="str">
        <x:v>would be included in the valuation in accordance with the PSU Plan. The 2023, 2024 and 2025 accounting fair values, as calculated on</x:v>
      </x:c>
    </x:row>
    <x:row r="254" ht="28" customHeight="1">
      <x:c r="AA254" s="1" t="str">
        <x:v>methanex</x:v>
      </x:c>
      <x:c r="AB254" s="1" t="n">
        <x:v>89</x:v>
      </x:c>
      <x:c r="AC254" s="1" t="n">
        <x:v>43</x:v>
      </x:c>
      <x:c r="AD254" s="18" t="str">
        <x:v>the grant date based on the Monte Carlo pricing model, are: CEO (2025: US$1,980,440; 2024: US$1,679,560; 2023: US$1,754,910), CFO</x:v>
      </x:c>
    </x:row>
    <x:row r="255" ht="28" customHeight="1">
      <x:c r="AA255" s="1" t="str">
        <x:v>methanex</x:v>
      </x:c>
      <x:c r="AB255" s="1" t="n">
        <x:v>89</x:v>
      </x:c>
      <x:c r="AC255" s="1" t="n">
        <x:v>44</x:v>
      </x:c>
      <x:c r="AD255" s="18" t="str">
        <x:v>(2025: US$571,627; 2024: US$433,820; 2023: US$487,475), Senior VP, Manufacturing (2025: US$432,096; 2024: US$322,380; 2023:</x:v>
      </x:c>
    </x:row>
    <x:row r="256" ht="28" customHeight="1">
      <x:c r="AA256" s="1" t="str">
        <x:v>methanex</x:v>
      </x:c>
      <x:c r="AB256" s="1" t="n">
        <x:v>89</x:v>
      </x:c>
      <x:c r="AC256" s="1" t="n">
        <x:v>45</x:v>
      </x:c>
      <x:c r="AD256" s="18" t="str">
        <x:v>US$355,570), Senior VP, Global Marketing &amp; Logistics (2025: US$409,591; 2024: US$306,460; 2023: US$344,100), Senior VP, Corporate</x:v>
      </x:c>
    </x:row>
    <x:row r="257" ht="28" customHeight="1">
      <x:c r="AA257" s="1" t="str">
        <x:v>methanex</x:v>
      </x:c>
      <x:c r="AB257" s="1" t="n">
        <x:v>89</x:v>
      </x:c>
      <x:c r="AC257" s="1" t="n">
        <x:v>46</x:v>
      </x:c>
      <x:c r="AD257" s="18" t="str">
        <x:v>Development (2025: US$481,607; 2024: US$330,340; 2023: US$355,570).</x:v>
      </x:c>
    </x:row>
    <x:row r="258" ht="28" customHeight="1">
      <x:c r="AA258" s="1" t="str">
        <x:v>methanex</x:v>
      </x:c>
      <x:c r="AB258" s="1" t="n">
        <x:v>89</x:v>
      </x:c>
      <x:c r="AC258" s="1" t="n">
        <x:v>47</x:v>
      </x:c>
      <x:c r="AD258" s="18" t="str">
        <x:v>Methanex 2026 Information Circular 87</x:v>
      </x:c>
    </x:row>
    <x:row r="259" ht="28" customHeight="1">
      <x:c r="AA259" s="1" t="str">
        <x:v>methanex</x:v>
      </x:c>
      <x:c r="AB259" s="1" t="n">
        <x:v>90</x:v>
      </x:c>
      <x:c r="AC259" s="1" t="n">
        <x:v>1</x:v>
      </x:c>
      <x:c r="AD259" s="18" t="str">
        <x:v>Introduction Voting Business of the Meeting About the Directors Corporate Governance Compensation Other Information</x:v>
      </x:c>
    </x:row>
    <x:row r="260" ht="28" customHeight="1">
      <x:c r="AA260" s="1" t="str">
        <x:v>methanex</x:v>
      </x:c>
      <x:c r="AB260" s="1" t="n">
        <x:v>90</x:v>
      </x:c>
      <x:c r="AC260" s="1" t="n">
        <x:v>2</x:v>
      </x:c>
      <x:c r="AD260" s="18" t="str">
        <x:v>(4) This column reflects the grant date fair value of stock options/SARs/TSARs received by NEOs as long-term incentive awards. The value</x:v>
      </x:c>
    </x:row>
    <x:row r="261" ht="28" customHeight="1">
      <x:c r="AA261" s="1" t="str">
        <x:v>methanex</x:v>
      </x:c>
      <x:c r="AB261" s="1" t="n">
        <x:v>90</x:v>
      </x:c>
      <x:c r="AC261" s="1" t="n">
        <x:v>3</x:v>
      </x:c>
      <x:c r="AD261" s="18" t="str">
        <x:v>shown is calculated by multiplying the number of stock options/SARs/TSARs granted by the Canadian dollar exercise price at the time</x:v>
      </x:c>
    </x:row>
    <x:row r="262" ht="28" customHeight="1">
      <x:c r="AA262" s="1" t="str">
        <x:v>methanex</x:v>
      </x:c>
      <x:c r="AB262" s="1" t="n">
        <x:v>90</x:v>
      </x:c>
      <x:c r="AC262" s="1" t="n">
        <x:v>4</x:v>
      </x:c>
      <x:c r="AD262" s="18" t="str">
        <x:v>of the grant by the Black-Scholes valuation factor (2025: exercise price = $59.39, Black-Scholes valuation factor = 42.19%; 2024:</x:v>
      </x:c>
    </x:row>
    <x:row r="263" ht="28" customHeight="1">
      <x:c r="AA263" s="1" t="str">
        <x:v>methanex</x:v>
      </x:c>
      <x:c r="AB263" s="1" t="n">
        <x:v>90</x:v>
      </x:c>
      <x:c r="AC263" s="1" t="n">
        <x:v>5</x:v>
      </x:c>
      <x:c r="AD263" s="18" t="str">
        <x:v>exercise price = $57.21, Black-Scholes valuation factor = 45.06%; 2023: exercise price = $69.66, Black-Scholes valuation factor =</x:v>
      </x:c>
    </x:row>
    <x:row r="264" ht="28" customHeight="1">
      <x:c r="AA264" s="1" t="str">
        <x:v>methanex</x:v>
      </x:c>
      <x:c r="AB264" s="1" t="n">
        <x:v>90</x:v>
      </x:c>
      <x:c r="AC264" s="1" t="n">
        <x:v>6</x:v>
      </x:c>
      <x:c r="AD264" s="18" t="str">
        <x:v>46.22%). This value is the same as the accounting fair value of the full grant but is not adjusted by the vesting schedule. The actual</x:v>
      </x:c>
    </x:row>
    <x:row r="265" ht="28" customHeight="1">
      <x:c r="AA265" s="1" t="str">
        <x:v>methanex</x:v>
      </x:c>
      <x:c r="AB265" s="1" t="n">
        <x:v>90</x:v>
      </x:c>
      <x:c r="AC265" s="1" t="n">
        <x:v>7</x:v>
      </x:c>
      <x:c r="AD265" s="18" t="str">
        <x:v>exercise price of stock options under the Stock Option/SARs/TSARs Plan is the US dollar closing price of the Common Shares on the</x:v>
      </x:c>
    </x:row>
    <x:row r="266" ht="28" customHeight="1">
      <x:c r="AA266" s="1" t="str">
        <x:v>methanex</x:v>
      </x:c>
      <x:c r="AB266" s="1" t="n">
        <x:v>90</x:v>
      </x:c>
      <x:c r="AC266" s="1" t="n">
        <x:v>8</x:v>
      </x:c>
      <x:c r="AD266" s="18" t="str">
        <x:v>Nasdaq on the day before the stock options/SARs/TSARs were granted.</x:v>
      </x:c>
    </x:row>
    <x:row r="267" ht="28" customHeight="1">
      <x:c r="AA267" s="1" t="str">
        <x:v>methanex</x:v>
      </x:c>
      <x:c r="AB267" s="1" t="n">
        <x:v>90</x:v>
      </x:c>
      <x:c r="AC267" s="1" t="n">
        <x:v>9</x:v>
      </x:c>
      <x:c r="AD267" s="18" t="str">
        <x:v>(5) These annual short-term incentive awards are reported in the year in which they were earned, not in the year in which they were</x:v>
      </x:c>
    </x:row>
    <x:row r="268" ht="28" customHeight="1">
      <x:c r="AA268" s="1" t="str">
        <x:v>methanex</x:v>
      </x:c>
      <x:c r="AB268" s="1" t="n">
        <x:v>90</x:v>
      </x:c>
      <x:c r="AC268" s="1" t="n">
        <x:v>10</x:v>
      </x:c>
      <x:c r="AD268" s="18" t="str">
        <x:v>actually paid. They are paid in cash and/or DSUs in the year following the year in which they are earned. In 2025, Mr. Sumner elected</x:v>
      </x:c>
    </x:row>
    <x:row r="269" ht="28" customHeight="1">
      <x:c r="AA269" s="1" t="str">
        <x:v>methanex</x:v>
      </x:c>
      <x:c r="AB269" s="1" t="n">
        <x:v>90</x:v>
      </x:c>
      <x:c r="AC269" s="1" t="n">
        <x:v>11</x:v>
      </x:c>
      <x:c r="AD269" s="18" t="str">
        <x:v>to convert one-half of his annual incentive payment (to be paid in 2026) to DSUs as permitted under the terms of the DSU Plan</x:v>
      </x:c>
    </x:row>
    <x:row r="270" ht="28" customHeight="1">
      <x:c r="AA270" s="1" t="str">
        <x:v>methanex</x:v>
      </x:c>
      <x:c r="AB270" s="1" t="n">
        <x:v>90</x:v>
      </x:c>
      <x:c r="AC270" s="1" t="n">
        <x:v>12</x:v>
      </x:c>
      <x:c r="AD270" s="18" t="str">
        <x:v>whereby he received a number of DSUs equal in value to one-half of his annual short-term incentive award. All other NEOs elected to</x:v>
      </x:c>
    </x:row>
    <x:row r="271" ht="28" customHeight="1">
      <x:c r="AA271" s="1" t="str">
        <x:v>methanex</x:v>
      </x:c>
      <x:c r="AB271" s="1" t="n">
        <x:v>90</x:v>
      </x:c>
      <x:c r="AC271" s="1" t="n">
        <x:v>13</x:v>
      </x:c>
      <x:c r="AD271" s="18" t="str">
        <x:v>be paid in cash.</x:v>
      </x:c>
    </x:row>
    <x:row r="272" ht="28" customHeight="1">
      <x:c r="AA272" s="1" t="str">
        <x:v>methanex</x:v>
      </x:c>
      <x:c r="AB272" s="1" t="n">
        <x:v>90</x:v>
      </x:c>
      <x:c r="AC272" s="1" t="n">
        <x:v>14</x:v>
      </x:c>
      <x:c r="AD272" s="18" t="str">
        <x:v>(6) The amounts shown for Messrs. Sumner, Richardson and Maloney include the Company’s pension contributions both to the</x:v>
      </x:c>
    </x:row>
    <x:row r="273" ht="28" customHeight="1">
      <x:c r="AA273" s="1" t="str">
        <x:v>methanex</x:v>
      </x:c>
      <x:c r="AB273" s="1" t="n">
        <x:v>90</x:v>
      </x:c>
      <x:c r="AC273" s="1" t="n">
        <x:v>15</x:v>
      </x:c>
      <x:c r="AD273" s="18" t="str">
        <x:v>Company’s regular defined contribution pension plan and supplemental defined contribution retirement plan in Canada. The amount</x:v>
      </x:c>
    </x:row>
    <x:row r="274" ht="28" customHeight="1">
      <x:c r="AA274" s="1" t="str">
        <x:v>methanex</x:v>
      </x:c>
      <x:c r="AB274" s="1" t="n">
        <x:v>90</x:v>
      </x:c>
      <x:c r="AC274" s="1" t="n">
        <x:v>16</x:v>
      </x:c>
      <x:c r="AD274" s="18" t="str">
        <x:v>shown for Mr. Parra includes pension contributions to the Chilean defined contribution plan and US defined contribution (401k) plan.</x:v>
      </x:c>
    </x:row>
    <x:row r="275" ht="28" customHeight="1">
      <x:c r="AA275" s="1" t="str">
        <x:v>methanex</x:v>
      </x:c>
      <x:c r="AB275" s="1" t="n">
        <x:v>90</x:v>
      </x:c>
      <x:c r="AC275" s="1" t="n">
        <x:v>17</x:v>
      </x:c>
      <x:c r="AD275" s="18" t="str">
        <x:v>The amount shown for Ms. Delbarre includes pension contributions to the US defined contribution 401(k) plan and, in 2025,</x:v>
      </x:c>
    </x:row>
    <x:row r="276" ht="28" customHeight="1">
      <x:c r="AA276" s="1" t="str">
        <x:v>methanex</x:v>
      </x:c>
      <x:c r="AB276" s="1" t="n">
        <x:v>90</x:v>
      </x:c>
      <x:c r="AC276" s="1" t="n">
        <x:v>18</x:v>
      </x:c>
      <x:c r="AD276" s="18" t="str">
        <x:v>contributions to the US supplemental defined contribution plan.</x:v>
      </x:c>
    </x:row>
    <x:row r="277" ht="28" customHeight="1">
      <x:c r="AA277" s="1" t="str">
        <x:v>methanex</x:v>
      </x:c>
      <x:c r="AB277" s="1" t="n">
        <x:v>90</x:v>
      </x:c>
      <x:c r="AC277" s="1" t="n">
        <x:v>19</x:v>
      </x:c>
      <x:c r="AD277" s="18" t="str">
        <x:v>(7) The amounts shown represent:</x:v>
      </x:c>
    </x:row>
    <x:row r="278" ht="28" customHeight="1">
      <x:c r="AA278" s="1" t="str">
        <x:v>methanex</x:v>
      </x:c>
      <x:c r="AB278" s="1" t="n">
        <x:v>90</x:v>
      </x:c>
      <x:c r="AC278" s="1" t="n">
        <x:v>20</x:v>
      </x:c>
      <x:c r="AD278" s="18" t="str">
        <x:v>• For Mr. Sumner: the Company’s contributions to the Company’s Employee Share Purchase Plan, perquisite allowance (2025:</x:v>
      </x:c>
    </x:row>
    <x:row r="279" ht="28" customHeight="1">
      <x:c r="AA279" s="1" t="str">
        <x:v>methanex</x:v>
      </x:c>
      <x:c r="AB279" s="1" t="n">
        <x:v>90</x:v>
      </x:c>
      <x:c r="AC279" s="1" t="n">
        <x:v>21</x:v>
      </x:c>
      <x:c r="AD279" s="18" t="str">
        <x:v>$66,000; 2024: $66,000; 2023: $66,000), payment related to trailing tax obligations from international assignments (2025: $7,312;</x:v>
      </x:c>
    </x:row>
    <x:row r="280" ht="28" customHeight="1">
      <x:c r="AA280" s="1" t="str">
        <x:v>methanex</x:v>
      </x:c>
      <x:c r="AB280" s="1" t="n">
        <x:v>90</x:v>
      </x:c>
      <x:c r="AC280" s="1" t="n">
        <x:v>22</x:v>
      </x:c>
      <x:c r="AD280" s="18" t="str">
        <x:v>2024: $5,967; 2023: $6,418), other assignment-related expenses and other miscellaneous items. The value of additional PSUs and</x:v>
      </x:c>
    </x:row>
    <x:row r="281" ht="28" customHeight="1">
      <x:c r="AA281" s="1" t="str">
        <x:v>methanex</x:v>
      </x:c>
      <x:c r="AB281" s="1" t="n">
        <x:v>90</x:v>
      </x:c>
      <x:c r="AC281" s="1" t="n">
        <x:v>23</x:v>
      </x:c>
      <x:c r="AD281" s="18" t="str">
        <x:v>DSUs attributable to dividends declared on Common Shares, which had been included in prior years, has been excluded beginning</x:v>
      </x:c>
    </x:row>
    <x:row r="282" ht="28" customHeight="1">
      <x:c r="AA282" s="1" t="str">
        <x:v>methanex</x:v>
      </x:c>
      <x:c r="AB282" s="1" t="n">
        <x:v>90</x:v>
      </x:c>
      <x:c r="AC282" s="1" t="n">
        <x:v>24</x:v>
      </x:c>
      <x:c r="AD282" s="18" t="str">
        <x:v>in 2025, as the dividend yield is already incorporated into the fair value of the award at the grant date (for PSUs, 2024: $82,149</x:v>
      </x:c>
    </x:row>
    <x:row r="283" ht="28" customHeight="1">
      <x:c r="AA283" s="1" t="str">
        <x:v>methanex</x:v>
      </x:c>
      <x:c r="AB283" s="1" t="n">
        <x:v>90</x:v>
      </x:c>
      <x:c r="AC283" s="1" t="n">
        <x:v>25</x:v>
      </x:c>
      <x:c r="AD283" s="18" t="str">
        <x:v>(1,350 units); 2023: $41,480 (706 units) and for DSUs, 2024: $11,306 (179 units)).</x:v>
      </x:c>
    </x:row>
    <x:row r="284" ht="28" customHeight="1">
      <x:c r="AA284" s="1" t="str">
        <x:v>methanex</x:v>
      </x:c>
      <x:c r="AB284" s="1" t="n">
        <x:v>90</x:v>
      </x:c>
      <x:c r="AC284" s="1" t="n">
        <x:v>26</x:v>
      </x:c>
      <x:c r="AD284" s="18" t="str">
        <x:v>• For Mr. Richardson: the Company’s contributions to the Company’s Employee Share Purchase Plan, perquisite allowance (2025:</x:v>
      </x:c>
    </x:row>
    <x:row r="285" ht="28" customHeight="1">
      <x:c r="AA285" s="1" t="str">
        <x:v>methanex</x:v>
      </x:c>
      <x:c r="AB285" s="1" t="n">
        <x:v>90</x:v>
      </x:c>
      <x:c r="AC285" s="1" t="n">
        <x:v>27</x:v>
      </x:c>
      <x:c r="AD285" s="18" t="str">
        <x:v>$57,000; 2024 $57,000; 2023: $52,250), payment related to trailing tax obligations from international assignments (2025: $5,542;</x:v>
      </x:c>
    </x:row>
    <x:row r="286" ht="28" customHeight="1">
      <x:c r="AA286" s="1" t="str">
        <x:v>methanex</x:v>
      </x:c>
      <x:c r="AB286" s="1" t="n">
        <x:v>90</x:v>
      </x:c>
      <x:c r="AC286" s="1" t="n">
        <x:v>28</x:v>
      </x:c>
      <x:c r="AD286" s="18" t="str">
        <x:v>2024: $20,231; 2023: $98,963), other assignment-related expenses and other miscellaneous items. The value of additional PSUs</x:v>
      </x:c>
    </x:row>
    <x:row r="287" ht="28" customHeight="1">
      <x:c r="AA287" s="1" t="str">
        <x:v>methanex</x:v>
      </x:c>
      <x:c r="AB287" s="1" t="n">
        <x:v>90</x:v>
      </x:c>
      <x:c r="AC287" s="1" t="n">
        <x:v>29</x:v>
      </x:c>
      <x:c r="AD287" s="18" t="str">
        <x:v>attributable to dividends declared on Common Shares, which had been included in prior years, has been excluded beginning in</x:v>
      </x:c>
    </x:row>
    <x:row r="288" ht="28" customHeight="1">
      <x:c r="AA288" s="1" t="str">
        <x:v>methanex</x:v>
      </x:c>
      <x:c r="AB288" s="1" t="n">
        <x:v>90</x:v>
      </x:c>
      <x:c r="AC288" s="1" t="n">
        <x:v>30</x:v>
      </x:c>
      <x:c r="AD288" s="18" t="str">
        <x:v>2025, as the dividend yield is already incorporated into the fair value of the award at the grant date (2024: $23,941 (394 units);</x:v>
      </x:c>
    </x:row>
    <x:row r="289" ht="28" customHeight="1">
      <x:c r="AA289" s="1" t="str">
        <x:v>methanex</x:v>
      </x:c>
      <x:c r="AB289" s="1" t="n">
        <x:v>90</x:v>
      </x:c>
      <x:c r="AC289" s="1" t="n">
        <x:v>31</x:v>
      </x:c>
      <x:c r="AD289" s="18" t="str">
        <x:v>2023: $15,456 (263 units)).</x:v>
      </x:c>
    </x:row>
    <x:row r="290" ht="28" customHeight="1">
      <x:c r="AA290" s="1" t="str">
        <x:v>methanex</x:v>
      </x:c>
      <x:c r="AB290" s="1" t="n">
        <x:v>90</x:v>
      </x:c>
      <x:c r="AC290" s="1" t="n">
        <x:v>32</x:v>
      </x:c>
      <x:c r="AD290" s="18" t="str">
        <x:v>• For Mr. Parra: the Company’s contributions to the Company’s Employee Share Purchase Plan, perquisite allowance (2025: $61,841;</x:v>
      </x:c>
    </x:row>
    <x:row r="291" ht="28" customHeight="1">
      <x:c r="AA291" s="1" t="str">
        <x:v>methanex</x:v>
      </x:c>
      <x:c r="AB291" s="1" t="n">
        <x:v>90</x:v>
      </x:c>
      <x:c r="AC291" s="1" t="n">
        <x:v>33</x:v>
      </x:c>
      <x:c r="AD291" s="18" t="str">
        <x:v>2024: $68,783; 2023: $66,659), payment related to trailing tax obligations from international assignments (2025: $412,312; 2024:</x:v>
      </x:c>
    </x:row>
    <x:row r="292" ht="28" customHeight="1">
      <x:c r="AA292" s="1" t="str">
        <x:v>methanex</x:v>
      </x:c>
      <x:c r="AB292" s="1" t="n">
        <x:v>90</x:v>
      </x:c>
      <x:c r="AC292" s="1" t="n">
        <x:v>34</x:v>
      </x:c>
      <x:c r="AD292" s="18" t="str">
        <x:v>$465,644; 2023: $299,107), other assignment-related expenses and other miscellaneous items. The value of additional PSUs</x:v>
      </x:c>
    </x:row>
    <x:row r="293" ht="28" customHeight="1">
      <x:c r="AA293" s="1" t="str">
        <x:v>methanex</x:v>
      </x:c>
      <x:c r="AB293" s="1" t="n">
        <x:v>90</x:v>
      </x:c>
      <x:c r="AC293" s="1" t="n">
        <x:v>35</x:v>
      </x:c>
      <x:c r="AD293" s="18" t="str">
        <x:v>attributable to dividends declared on Common Shares, which had been included in prior years, has been excluded beginning in</x:v>
      </x:c>
    </x:row>
    <x:row r="294" ht="28" customHeight="1">
      <x:c r="AA294" s="1" t="str">
        <x:v>methanex</x:v>
      </x:c>
      <x:c r="AB294" s="1" t="n">
        <x:v>90</x:v>
      </x:c>
      <x:c r="AC294" s="1" t="n">
        <x:v>36</x:v>
      </x:c>
      <x:c r="AD294" s="18" t="str">
        <x:v>2025, as the dividend yield is already incorporated into the fair value of the award at the grant date (2024: $18,667 (307 units);</x:v>
      </x:c>
    </x:row>
    <x:row r="295" ht="28" customHeight="1">
      <x:c r="AA295" s="1" t="str">
        <x:v>methanex</x:v>
      </x:c>
      <x:c r="AB295" s="1" t="n">
        <x:v>90</x:v>
      </x:c>
      <x:c r="AC295" s="1" t="n">
        <x:v>37</x:v>
      </x:c>
      <x:c r="AD295" s="18" t="str">
        <x:v>2023: $14,655 (249 units)).</x:v>
      </x:c>
    </x:row>
    <x:row r="296" ht="28" customHeight="1">
      <x:c r="AA296" s="1" t="str">
        <x:v>methanex</x:v>
      </x:c>
      <x:c r="AB296" s="1" t="n">
        <x:v>90</x:v>
      </x:c>
      <x:c r="AC296" s="1" t="n">
        <x:v>38</x:v>
      </x:c>
      <x:c r="AD296" s="18" t="str">
        <x:v>• For Ms. Delbarre: the Company’s contributions to the Company’s Employee Share Purchase Plan, perquisite allowance (2025:</x:v>
      </x:c>
    </x:row>
    <x:row r="297" ht="28" customHeight="1">
      <x:c r="AA297" s="1" t="str">
        <x:v>methanex</x:v>
      </x:c>
      <x:c r="AB297" s="1" t="n">
        <x:v>90</x:v>
      </x:c>
      <x:c r="AC297" s="1" t="n">
        <x:v>39</x:v>
      </x:c>
      <x:c r="AD297" s="18" t="str">
        <x:v>$60,106; 2024: $58,268; 2023: $57,129), payment related to trailing tax obligations resulting from her relocation from Canada to</x:v>
      </x:c>
    </x:row>
    <x:row r="298" ht="28" customHeight="1">
      <x:c r="AA298" s="1" t="str">
        <x:v>methanex</x:v>
      </x:c>
      <x:c r="AB298" s="1" t="n">
        <x:v>90</x:v>
      </x:c>
      <x:c r="AC298" s="1" t="n">
        <x:v>40</x:v>
      </x:c>
      <x:c r="AD298" s="18" t="str">
        <x:v>the United States (2025: $478,632; 2024: $536,077; 2023: $297,042), other assignment-related expenses and other miscellaneous</x:v>
      </x:c>
    </x:row>
    <x:row r="299" ht="28" customHeight="1">
      <x:c r="AA299" s="1" t="str">
        <x:v>methanex</x:v>
      </x:c>
      <x:c r="AB299" s="1" t="n">
        <x:v>90</x:v>
      </x:c>
      <x:c r="AC299" s="1" t="n">
        <x:v>41</x:v>
      </x:c>
      <x:c r="AD299" s="18" t="str">
        <x:v>items. The value of additional PSUs and RSUs attributable to dividends declared on Common Shares, which had been included in</x:v>
      </x:c>
    </x:row>
    <x:row r="300" ht="28" customHeight="1">
      <x:c r="AA300" s="1" t="str">
        <x:v>methanex</x:v>
      </x:c>
      <x:c r="AB300" s="1" t="n">
        <x:v>90</x:v>
      </x:c>
      <x:c r="AC300" s="1" t="n">
        <x:v>42</x:v>
      </x:c>
      <x:c r="AD300" s="18" t="str">
        <x:v>prior years, has been excluded beginning in 2025, as the dividend yield is already incorporated into the fair value of the award at</x:v>
      </x:c>
    </x:row>
    <x:row r="301" ht="28" customHeight="1">
      <x:c r="AA301" s="1" t="str">
        <x:v>methanex</x:v>
      </x:c>
      <x:c r="AB301" s="1" t="n">
        <x:v>90</x:v>
      </x:c>
      <x:c r="AC301" s="1" t="n">
        <x:v>43</x:v>
      </x:c>
      <x:c r="AD301" s="18" t="str">
        <x:v>the grant date (for PSUs, 2024: $16,563 (272 units); 2023: $11,177 (190 units) and for RSUs, 2024: $1,198 (20 units); 2023: $2,639 (45</x:v>
      </x:c>
    </x:row>
    <x:row r="302" ht="28" customHeight="1">
      <x:c r="AA302" s="1" t="str">
        <x:v>methanex</x:v>
      </x:c>
      <x:c r="AB302" s="1" t="n">
        <x:v>90</x:v>
      </x:c>
      <x:c r="AC302" s="1" t="n">
        <x:v>44</x:v>
      </x:c>
      <x:c r="AD302" s="18" t="str">
        <x:v>units)).</x:v>
      </x:c>
    </x:row>
    <x:row r="303" ht="28" customHeight="1">
      <x:c r="AA303" s="1" t="str">
        <x:v>methanex</x:v>
      </x:c>
      <x:c r="AB303" s="1" t="n">
        <x:v>90</x:v>
      </x:c>
      <x:c r="AC303" s="1" t="n">
        <x:v>45</x:v>
      </x:c>
      <x:c r="AD303" s="18" t="str">
        <x:v>• For Mr. Maloney: the Company’s contributions to the Company’s Employee Share Purchase Plan, perquisite allowance (2025:</x:v>
      </x:c>
    </x:row>
    <x:row r="304" ht="28" customHeight="1">
      <x:c r="AA304" s="1" t="str">
        <x:v>methanex</x:v>
      </x:c>
      <x:c r="AB304" s="1" t="n">
        <x:v>90</x:v>
      </x:c>
      <x:c r="AC304" s="1" t="n">
        <x:v>46</x:v>
      </x:c>
      <x:c r="AD304" s="18" t="str">
        <x:v>$57,000; 2024: $57,000; 2023: $57,000) and other miscellaneous items. The value of additional PSUs attributable to dividends</x:v>
      </x:c>
    </x:row>
    <x:row r="305" ht="28" customHeight="1">
      <x:c r="AA305" s="1" t="str">
        <x:v>methanex</x:v>
      </x:c>
      <x:c r="AB305" s="1" t="n">
        <x:v>90</x:v>
      </x:c>
      <x:c r="AC305" s="1" t="n">
        <x:v>47</x:v>
      </x:c>
      <x:c r="AD305" s="18" t="str">
        <x:v>declared on Common Shares, which had been included in prior years, has been excluded beginning in 2025, as the dividend yield</x:v>
      </x:c>
    </x:row>
    <x:row r="306" ht="28" customHeight="1">
      <x:c r="AA306" s="1" t="str">
        <x:v>methanex</x:v>
      </x:c>
      <x:c r="AB306" s="1" t="n">
        <x:v>90</x:v>
      </x:c>
      <x:c r="AC306" s="1" t="n">
        <x:v>48</x:v>
      </x:c>
      <x:c r="AD306" s="18" t="str">
        <x:v>is already incorporated into the fair value of the award at the grant date (2024: $17,387 (286 units); 2023: $11,373 (194 units)).</x:v>
      </x:c>
    </x:row>
    <x:row r="307" ht="28" customHeight="1">
      <x:c r="AA307" s="1" t="str">
        <x:v>methanex</x:v>
      </x:c>
      <x:c r="AB307" s="1" t="n">
        <x:v>90</x:v>
      </x:c>
      <x:c r="AC307" s="1" t="n">
        <x:v>49</x:v>
      </x:c>
      <x:c r="AD307" s="18" t="str">
        <x:v>No NEO spent 25% or more of the value of their perquisite allowance on any one perquisite. The amounts shown do not include</x:v>
      </x:c>
    </x:row>
    <x:row r="308" ht="28" customHeight="1">
      <x:c r="AA308" s="1" t="str">
        <x:v>methanex</x:v>
      </x:c>
      <x:c r="AB308" s="1" t="n">
        <x:v>90</x:v>
      </x:c>
      <x:c r="AC308" s="1" t="n">
        <x:v>50</x:v>
      </x:c>
      <x:c r="AD308" s="18" t="str">
        <x:v>payments made on settlement of PSUs granted in a prior year. Payments made on settlement of PSUs are reported in the table</x:v>
      </x:c>
    </x:row>
    <x:row r="309" ht="28" customHeight="1">
      <x:c r="AA309" s="1" t="str">
        <x:v>methanex</x:v>
      </x:c>
      <x:c r="AB309" s="1" t="n">
        <x:v>90</x:v>
      </x:c>
      <x:c r="AC309" s="1" t="n">
        <x:v>51</x:v>
      </x:c>
      <x:c r="AD309" s="18" t="str">
        <x:v>entitled “Outstanding Option-Based Awards and Share-Based Awards” found below.</x:v>
      </x:c>
    </x:row>
    <x:row r="310" ht="28" customHeight="1">
      <x:c r="AA310" s="1" t="str">
        <x:v>methanex</x:v>
      </x:c>
      <x:c r="AB310" s="1" t="n">
        <x:v>90</x:v>
      </x:c>
      <x:c r="AC310" s="1" t="n">
        <x:v>52</x:v>
      </x:c>
      <x:c r="AD310" s="18" t="str">
        <x:v>88 Methanex 2026 Information Circular</x:v>
      </x:c>
    </x:row>
    <x:row r="311" ht="28" customHeight="1">
      <x:c r="AA311" s="1" t="str">
        <x:v>methanex_financials</x:v>
      </x:c>
      <x:c r="AB311" s="1" t="n">
        <x:v>53</x:v>
      </x:c>
      <x:c r="AC311" s="1" t="n">
        <x:v>1</x:v>
      </x:c>
      <x:c r="AD311" s="18" t="str">
        <x:v>Consolidated Statements of Income</x:v>
      </x:c>
    </x:row>
    <x:row r="312" ht="28" customHeight="1">
      <x:c r="AA312" s="1" t="str">
        <x:v>methanex_financials</x:v>
      </x:c>
      <x:c r="AB312" s="1" t="n">
        <x:v>53</x:v>
      </x:c>
      <x:c r="AC312" s="1" t="n">
        <x:v>2</x:v>
      </x:c>
      <x:c r="AD312" s="18" t="str">
        <x:v>(thousands of U.S. dollars, except number of common shares and per share amounts)</x:v>
      </x:c>
    </x:row>
    <x:row r="313" ht="28" customHeight="1">
      <x:c r="AA313" s="1" t="str">
        <x:v>methanex_financials</x:v>
      </x:c>
      <x:c r="AB313" s="1" t="n">
        <x:v>53</x:v>
      </x:c>
      <x:c r="AC313" s="1" t="n">
        <x:v>3</x:v>
      </x:c>
      <x:c r="AD313" s="18" t="str">
        <x:v>For the years ended December 31 2025 2024</x:v>
      </x:c>
    </x:row>
    <x:row r="314" ht="28" customHeight="1">
      <x:c r="AA314" s="1" t="str">
        <x:v>methanex_financials</x:v>
      </x:c>
      <x:c r="AB314" s="1" t="n">
        <x:v>53</x:v>
      </x:c>
      <x:c r="AC314" s="1" t="n">
        <x:v>4</x:v>
      </x:c>
      <x:c r="AD314" s="18" t="str">
        <x:v>Revenue $ 3,589,224 $ 3,719,829</x:v>
      </x:c>
    </x:row>
    <x:row r="315" ht="28" customHeight="1">
      <x:c r="AA315" s="1" t="str">
        <x:v>methanex_financials</x:v>
      </x:c>
      <x:c r="AB315" s="1" t="n">
        <x:v>53</x:v>
      </x:c>
      <x:c r="AC315" s="1" t="n">
        <x:v>5</x:v>
      </x:c>
      <x:c r="AD315" s="18" t="str">
        <x:v>Cost of sales and operating expenses (note 11) (2,680,135) (3,009,407)</x:v>
      </x:c>
    </x:row>
    <x:row r="316" ht="28" customHeight="1">
      <x:c r="AA316" s="1" t="str">
        <x:v>methanex_financials</x:v>
      </x:c>
      <x:c r="AB316" s="1" t="n">
        <x:v>53</x:v>
      </x:c>
      <x:c r="AC316" s="1" t="n">
        <x:v>6</x:v>
      </x:c>
      <x:c r="AD316" s="18" t="str">
        <x:v>Depreciation and amortization (note 11) (446,011) (385,703)</x:v>
      </x:c>
    </x:row>
    <x:row r="317" ht="28" customHeight="1">
      <x:c r="AA317" s="1" t="str">
        <x:v>methanex_financials</x:v>
      </x:c>
      <x:c r="AB317" s="1" t="n">
        <x:v>53</x:v>
      </x:c>
      <x:c r="AC317" s="1" t="n">
        <x:v>7</x:v>
      </x:c>
      <x:c r="AD317" s="18" t="str">
        <x:v>New Zealand gas sale net proceeds (note 25) 39,117 102,969</x:v>
      </x:c>
    </x:row>
    <x:row r="318" ht="28" customHeight="1">
      <x:c r="AA318" s="1" t="str">
        <x:v>methanex_financials</x:v>
      </x:c>
      <x:c r="AB318" s="1" t="n">
        <x:v>53</x:v>
      </x:c>
      <x:c r="AC318" s="1" t="n">
        <x:v>8</x:v>
      </x:c>
      <x:c r="AD318" s="18" t="str">
        <x:v>Egypt insurance recovery (note 26) — 59,065</x:v>
      </x:c>
    </x:row>
    <x:row r="319" ht="28" customHeight="1">
      <x:c r="AA319" s="1" t="str">
        <x:v>methanex_financials</x:v>
      </x:c>
      <x:c r="AB319" s="1" t="n">
        <x:v>53</x:v>
      </x:c>
      <x:c r="AC319" s="1" t="n">
        <x:v>9</x:v>
      </x:c>
      <x:c r="AD319" s="18" t="str">
        <x:v>Asset impairment charge (note 5) (71,133) (124,788)</x:v>
      </x:c>
    </x:row>
    <x:row r="320" ht="28" customHeight="1">
      <x:c r="AA320" s="1" t="str">
        <x:v>methanex_financials</x:v>
      </x:c>
      <x:c r="AB320" s="1" t="n">
        <x:v>53</x:v>
      </x:c>
      <x:c r="AC320" s="1" t="n">
        <x:v>10</x:v>
      </x:c>
      <x:c r="AD320" s="18" t="str">
        <x:v>Operating income 431,062 361,965</x:v>
      </x:c>
    </x:row>
    <x:row r="321" ht="28" customHeight="1">
      <x:c r="AA321" s="1" t="str">
        <x:v>methanex_financials</x:v>
      </x:c>
      <x:c r="AB321" s="1" t="n">
        <x:v>53</x:v>
      </x:c>
      <x:c r="AC321" s="1" t="n">
        <x:v>11</x:v>
      </x:c>
      <x:c r="AD321" s="18" t="str">
        <x:v>Earnings (loss) of associates (note 6) (33,857) 38,335</x:v>
      </x:c>
    </x:row>
    <x:row r="322" ht="28" customHeight="1">
      <x:c r="AA322" s="1" t="str">
        <x:v>methanex_financials</x:v>
      </x:c>
      <x:c r="AB322" s="1" t="n">
        <x:v>53</x:v>
      </x:c>
      <x:c r="AC322" s="1" t="n">
        <x:v>12</x:v>
      </x:c>
      <x:c r="AD322" s="18" t="str">
        <x:v>Finance costs (note 12) (219,691) (132,634)</x:v>
      </x:c>
    </x:row>
    <x:row r="323" ht="28" customHeight="1">
      <x:c r="AA323" s="1" t="str">
        <x:v>methanex_financials</x:v>
      </x:c>
      <x:c r="AB323" s="1" t="n">
        <x:v>53</x:v>
      </x:c>
      <x:c r="AC323" s="1" t="n">
        <x:v>13</x:v>
      </x:c>
      <x:c r="AD323" s="18" t="str">
        <x:v>Finance income and other 25,725 12,420</x:v>
      </x:c>
    </x:row>
    <x:row r="324" ht="28" customHeight="1">
      <x:c r="AA324" s="1" t="str">
        <x:v>methanex_financials</x:v>
      </x:c>
      <x:c r="AB324" s="1" t="n">
        <x:v>53</x:v>
      </x:c>
      <x:c r="AC324" s="1" t="n">
        <x:v>14</x:v>
      </x:c>
      <x:c r="AD324" s="18" t="str">
        <x:v>Income before income taxes 203,239 280,086</x:v>
      </x:c>
    </x:row>
    <x:row r="325" ht="28" customHeight="1">
      <x:c r="AA325" s="1" t="str">
        <x:v>methanex_financials</x:v>
      </x:c>
      <x:c r="AB325" s="1" t="n">
        <x:v>53</x:v>
      </x:c>
      <x:c r="AC325" s="1" t="n">
        <x:v>15</x:v>
      </x:c>
      <x:c r="AD325" s="18" t="str">
        <x:v>Income tax (expense) recovery (note 16):</x:v>
      </x:c>
    </x:row>
    <x:row r="326" ht="28" customHeight="1">
      <x:c r="AA326" s="1" t="str">
        <x:v>methanex_financials</x:v>
      </x:c>
      <x:c r="AB326" s="1" t="n">
        <x:v>53</x:v>
      </x:c>
      <x:c r="AC326" s="1" t="n">
        <x:v>16</x:v>
      </x:c>
      <x:c r="AD326" s="18" t="str">
        <x:v>Current (16,930) (74,126)</x:v>
      </x:c>
    </x:row>
    <x:row r="327" ht="28" customHeight="1">
      <x:c r="AA327" s="1" t="str">
        <x:v>methanex_financials</x:v>
      </x:c>
      <x:c r="AB327" s="1" t="n">
        <x:v>53</x:v>
      </x:c>
      <x:c r="AC327" s="1" t="n">
        <x:v>17</x:v>
      </x:c>
      <x:c r="AD327" s="18" t="str">
        <x:v>Deferred (41,515) 44,285</x:v>
      </x:c>
    </x:row>
    <x:row r="328" ht="28" customHeight="1">
      <x:c r="AA328" s="1" t="str">
        <x:v>methanex_financials</x:v>
      </x:c>
      <x:c r="AB328" s="1" t="n">
        <x:v>53</x:v>
      </x:c>
      <x:c r="AC328" s="1" t="n">
        <x:v>18</x:v>
      </x:c>
      <x:c r="AD328" s="18" t="str">
        <x:v>(58,445) (29,841)</x:v>
      </x:c>
    </x:row>
    <x:row r="329" ht="28" customHeight="1">
      <x:c r="AA329" s="1" t="str">
        <x:v>methanex_financials</x:v>
      </x:c>
      <x:c r="AB329" s="1" t="n">
        <x:v>53</x:v>
      </x:c>
      <x:c r="AC329" s="1" t="n">
        <x:v>19</x:v>
      </x:c>
      <x:c r="AD329" s="18" t="str">
        <x:v>Net income $ 144,794 $ 250,245</x:v>
      </x:c>
    </x:row>
    <x:row r="330" ht="28" customHeight="1">
      <x:c r="AA330" s="1" t="str">
        <x:v>methanex_financials</x:v>
      </x:c>
      <x:c r="AB330" s="1" t="n">
        <x:v>53</x:v>
      </x:c>
      <x:c r="AC330" s="1" t="n">
        <x:v>20</x:v>
      </x:c>
      <x:c r="AD330" s="18" t="str">
        <x:v>Attributable to:</x:v>
      </x:c>
    </x:row>
    <x:row r="331" ht="28" customHeight="1">
      <x:c r="AA331" s="1" t="str">
        <x:v>methanex_financials</x:v>
      </x:c>
      <x:c r="AB331" s="1" t="n">
        <x:v>53</x:v>
      </x:c>
      <x:c r="AC331" s="1" t="n">
        <x:v>21</x:v>
      </x:c>
      <x:c r="AD331" s="18" t="str">
        <x:v>Methanex Corporation shareholders $ 79,876 $ 163,986</x:v>
      </x:c>
    </x:row>
    <x:row r="332" ht="28" customHeight="1">
      <x:c r="AA332" s="1" t="str">
        <x:v>methanex_financials</x:v>
      </x:c>
      <x:c r="AB332" s="1" t="n">
        <x:v>53</x:v>
      </x:c>
      <x:c r="AC332" s="1" t="n">
        <x:v>22</x:v>
      </x:c>
      <x:c r="AD332" s="18" t="str">
        <x:v>Non-controlling interests (note 24) 64,918 86,259</x:v>
      </x:c>
    </x:row>
    <x:row r="333" ht="28" customHeight="1">
      <x:c r="AA333" s="1" t="str">
        <x:v>methanex_financials</x:v>
      </x:c>
      <x:c r="AB333" s="1" t="n">
        <x:v>53</x:v>
      </x:c>
      <x:c r="AC333" s="1" t="n">
        <x:v>23</x:v>
      </x:c>
      <x:c r="AD333" s="18" t="str">
        <x:v>$ 144,794 $ 250,245</x:v>
      </x:c>
    </x:row>
    <x:row r="334" ht="28" customHeight="1">
      <x:c r="AA334" s="1" t="str">
        <x:v>methanex_financials</x:v>
      </x:c>
      <x:c r="AB334" s="1" t="n">
        <x:v>53</x:v>
      </x:c>
      <x:c r="AC334" s="1" t="n">
        <x:v>24</x:v>
      </x:c>
      <x:c r="AD334" s="18" t="str">
        <x:v>Income per common share for the year attributable to Methanex Corporation shareholders:</x:v>
      </x:c>
    </x:row>
    <x:row r="335" ht="28" customHeight="1">
      <x:c r="AA335" s="1" t="str">
        <x:v>methanex_financials</x:v>
      </x:c>
      <x:c r="AB335" s="1" t="n">
        <x:v>53</x:v>
      </x:c>
      <x:c r="AC335" s="1" t="n">
        <x:v>25</x:v>
      </x:c>
      <x:c r="AD335" s="18" t="str">
        <x:v>Basic net income per common share (note 13) $ 1.10 $ 2.43</x:v>
      </x:c>
    </x:row>
    <x:row r="336" ht="28" customHeight="1">
      <x:c r="AA336" s="1" t="str">
        <x:v>methanex_financials</x:v>
      </x:c>
      <x:c r="AB336" s="1" t="n">
        <x:v>53</x:v>
      </x:c>
      <x:c r="AC336" s="1" t="n">
        <x:v>26</x:v>
      </x:c>
      <x:c r="AD336" s="18" t="str">
        <x:v>Diluted net income per common share (note 13) $ 0.93 $ 2.39</x:v>
      </x:c>
    </x:row>
    <x:row r="337" ht="28" customHeight="1">
      <x:c r="AA337" s="1" t="str">
        <x:v>methanex_financials</x:v>
      </x:c>
      <x:c r="AB337" s="1" t="n">
        <x:v>53</x:v>
      </x:c>
      <x:c r="AC337" s="1" t="n">
        <x:v>27</x:v>
      </x:c>
      <x:c r="AD337" s="18" t="str">
        <x:v>Weighted average number of common shares outstanding (note 13) 72,531,283 67,387,809</x:v>
      </x:c>
    </x:row>
    <x:row r="338" ht="28" customHeight="1">
      <x:c r="AA338" s="1" t="str">
        <x:v>methanex_financials</x:v>
      </x:c>
      <x:c r="AB338" s="1" t="n">
        <x:v>53</x:v>
      </x:c>
      <x:c r="AC338" s="1" t="n">
        <x:v>28</x:v>
      </x:c>
      <x:c r="AD338" s="18" t="str">
        <x:v>Diluted weighted average number of common shares outstanding (note 13) 72,608,347 67,560,060</x:v>
      </x:c>
    </x:row>
    <x:row r="339" ht="28" customHeight="1">
      <x:c r="AA339" s="1" t="str">
        <x:v>methanex_financials</x:v>
      </x:c>
      <x:c r="AB339" s="1" t="n">
        <x:v>53</x:v>
      </x:c>
      <x:c r="AC339" s="1" t="n">
        <x:v>29</x:v>
      </x:c>
      <x:c r="AD339" s="18" t="str">
        <x:v>See accompanying notes to consolidated financial statements.</x:v>
      </x:c>
    </x:row>
    <x:row r="340" ht="28" customHeight="1">
      <x:c r="AA340" s="1" t="str">
        <x:v>methanex_financials</x:v>
      </x:c>
      <x:c r="AB340" s="1" t="n">
        <x:v>53</x:v>
      </x:c>
      <x:c r="AC340" s="1" t="n">
        <x:v>30</x:v>
      </x:c>
      <x:c r="AD340" s="18" t="str">
        <x:v>51</x:v>
      </x:c>
    </x:row>
    <x:row r="341" ht="28" customHeight="1">
      <x:c r="AA341" s="1" t="str">
        <x:v>b2gold</x:v>
      </x:c>
      <x:c r="AB341" s="1" t="n">
        <x:v>19</x:v>
      </x:c>
      <x:c r="AC341" s="1" t="n">
        <x:v>1</x:v>
      </x:c>
      <x:c r="AD341" s="18" t="str">
        <x:v>OVERVIEW NOTICE AND ACCESS CORPORATE GOVERNANCE EXECUTIVE COMPENSATION</x:v>
      </x:c>
    </x:row>
    <x:row r="342" ht="28" customHeight="1">
      <x:c r="AA342" s="1" t="str">
        <x:v>b2gold</x:v>
      </x:c>
      <x:c r="AB342" s="1" t="n">
        <x:v>19</x:v>
      </x:c>
      <x:c r="AC342" s="1" t="n">
        <x:v>2</x:v>
      </x:c>
      <x:c r="AD342" s="18" t="str">
        <x:v>Management</x:v>
      </x:c>
    </x:row>
    <x:row r="343" ht="28" customHeight="1">
      <x:c r="AA343" s="1" t="str">
        <x:v>b2gold</x:v>
      </x:c>
      <x:c r="AB343" s="1" t="n">
        <x:v>19</x:v>
      </x:c>
      <x:c r="AC343" s="1" t="n">
        <x:v>3</x:v>
      </x:c>
      <x:c r="AD343" s="18" t="str">
        <x:v>Information Circular</x:v>
      </x:c>
    </x:row>
    <x:row r="344" ht="28" customHeight="1">
      <x:c r="AA344" s="1" t="str">
        <x:v>b2gold</x:v>
      </x:c>
      <x:c r="AB344" s="1" t="n">
        <x:v>19</x:v>
      </x:c>
      <x:c r="AC344" s="1" t="n">
        <x:v>4</x:v>
      </x:c>
      <x:c r="AD344" s="18" t="str">
        <x:v>Important Notice</x:v>
      </x:c>
    </x:row>
    <x:row r="345" ht="28" customHeight="1">
      <x:c r="AA345" s="1" t="str">
        <x:v>b2gold</x:v>
      </x:c>
      <x:c r="AB345" s="1" t="n">
        <x:v>19</x:v>
      </x:c>
      <x:c r="AC345" s="1" t="n">
        <x:v>5</x:v>
      </x:c>
      <x:c r="AD345" s="18" t="str">
        <x:v>The Annual General and Special Meeting (the “Meeting”) of the shareholders (“Shareholders”) of B2Gold Corp. (“B2Gold”</x:v>
      </x:c>
    </x:row>
    <x:row r="346" ht="28" customHeight="1">
      <x:c r="AA346" s="1" t="str">
        <x:v>b2gold</x:v>
      </x:c>
      <x:c r="AB346" s="1" t="n">
        <x:v>19</x:v>
      </x:c>
      <x:c r="AC346" s="1" t="n">
        <x:v>6</x:v>
      </x:c>
      <x:c r="AD346" s="18" t="str">
        <x:v>or the “Company”) is scheduled to take place in person at the Fairmont Hotel Vancouver, Pacific Ballroom, 900 West</x:v>
      </x:c>
    </x:row>
    <x:row r="347" ht="28" customHeight="1">
      <x:c r="AA347" s="1" t="str">
        <x:v>b2gold</x:v>
      </x:c>
      <x:c r="AB347" s="1" t="n">
        <x:v>19</x:v>
      </x:c>
      <x:c r="AC347" s="1" t="n">
        <x:v>7</x:v>
      </x:c>
      <x:c r="AD347" s="18" t="str">
        <x:v>Georgia Street, British Columbia on Thursday, June 4, 2026 (the “Meeting Date”) at 2:00 p.m. (Vancouver time).</x:v>
      </x:c>
    </x:row>
    <x:row r="348" ht="28" customHeight="1">
      <x:c r="AA348" s="1" t="str">
        <x:v>b2gold</x:v>
      </x:c>
      <x:c r="AB348" s="1" t="n">
        <x:v>19</x:v>
      </x:c>
      <x:c r="AC348" s="1" t="n">
        <x:v>8</x:v>
      </x:c>
      <x:c r="AD348" s="18" t="str">
        <x:v>Only registered Shareholders, Non-Registered Shareholders who have followed the procedures described in this</x:v>
      </x:c>
    </x:row>
    <x:row r="349" ht="28" customHeight="1">
      <x:c r="AA349" s="1" t="str">
        <x:v>b2gold</x:v>
      </x:c>
      <x:c r="AB349" s="1" t="n">
        <x:v>19</x:v>
      </x:c>
      <x:c r="AC349" s="1" t="n">
        <x:v>9</x:v>
      </x:c>
      <x:c r="AD349" s="18" t="str">
        <x:v>management information circular (the “Circular”) and their respective proxy holders will be entitled to vote in person</x:v>
      </x:c>
    </x:row>
    <x:row r="350" ht="28" customHeight="1">
      <x:c r="AA350" s="1" t="str">
        <x:v>b2gold</x:v>
      </x:c>
      <x:c r="AB350" s="1" t="n">
        <x:v>19</x:v>
      </x:c>
      <x:c r="AC350" s="1" t="n">
        <x:v>10</x:v>
      </x:c>
      <x:c r="AD350" s="18" t="str">
        <x:v>at the Meeting.</x:v>
      </x:c>
    </x:row>
    <x:row r="351" ht="28" customHeight="1">
      <x:c r="AA351" s="1" t="str">
        <x:v>b2gold</x:v>
      </x:c>
      <x:c r="AB351" s="1" t="n">
        <x:v>19</x:v>
      </x:c>
      <x:c r="AC351" s="1" t="n">
        <x:v>11</x:v>
      </x:c>
      <x:c r="AD351" s="18" t="str">
        <x:v>The contents and the sending of this Circular have been approved by the Board. The Company reports its financial</x:v>
      </x:c>
    </x:row>
    <x:row r="352" ht="28" customHeight="1">
      <x:c r="AA352" s="1" t="str">
        <x:v>b2gold</x:v>
      </x:c>
      <x:c r="AB352" s="1" t="n">
        <x:v>19</x:v>
      </x:c>
      <x:c r="AC352" s="1" t="n">
        <x:v>12</x:v>
      </x:c>
      <x:c r="AD352" s="18" t="str">
        <x:v>results in United States dollars. All references to “$” or “dollars” in this Circular refer to United States dollars unless otherwise</x:v>
      </x:c>
    </x:row>
    <x:row r="353" ht="28" customHeight="1">
      <x:c r="AA353" s="1" t="str">
        <x:v>b2gold</x:v>
      </x:c>
      <x:c r="AB353" s="1" t="n">
        <x:v>19</x:v>
      </x:c>
      <x:c r="AC353" s="1" t="n">
        <x:v>13</x:v>
      </x:c>
      <x:c r="AD353" s="18" t="str">
        <x:v>indicated, and have been converted to USD using the exchange rate as at December 31, 2025 reported by the Bank of</x:v>
      </x:c>
    </x:row>
    <x:row r="354" ht="28" customHeight="1">
      <x:c r="AA354" s="1" t="str">
        <x:v>b2gold</x:v>
      </x:c>
      <x:c r="AB354" s="1" t="n">
        <x:v>19</x:v>
      </x:c>
      <x:c r="AC354" s="1" t="n">
        <x:v>14</x:v>
      </x:c>
      <x:c r="AD354" s="18" t="str">
        <x:v>Canada of CAD$1.00 = US$0.73, unless otherwise noted.</x:v>
      </x:c>
    </x:row>
    <x:row r="355" ht="28" customHeight="1">
      <x:c r="AA355" s="1" t="str">
        <x:v>b2gold</x:v>
      </x:c>
      <x:c r="AB355" s="1" t="n">
        <x:v>19</x:v>
      </x:c>
      <x:c r="AC355" s="1" t="n">
        <x:v>15</x:v>
      </x:c>
      <x:c r="AD355" s="18" t="str">
        <x:v>This Circular includes certain forward-looking information. Please refer to “Cautionary Note Regarding Forward-Looking</x:v>
      </x:c>
    </x:row>
    <x:row r="356" ht="28" customHeight="1">
      <x:c r="AA356" s="1" t="str">
        <x:v>b2gold</x:v>
      </x:c>
      <x:c r="AB356" s="1" t="n">
        <x:v>19</x:v>
      </x:c>
      <x:c r="AC356" s="1" t="n">
        <x:v>16</x:v>
      </x:c>
      <x:c r="AD356" s="18" t="str">
        <x:v>Information” attached as Schedule “B” hereto.</x:v>
      </x:c>
    </x:row>
    <x:row r="357" ht="28" customHeight="1">
      <x:c r="AA357" s="1" t="str">
        <x:v>b2gold</x:v>
      </x:c>
      <x:c r="AB357" s="1" t="n">
        <x:v>19</x:v>
      </x:c>
      <x:c r="AC357" s="1" t="n">
        <x:v>17</x:v>
      </x:c>
      <x:c r="AD357" s="18" t="str">
        <x:v>B2GOLD 2026 Management Information Circular 17.</x:v>
      </x:c>
    </x:row>
    <x:row r="358" ht="28" customHeight="1">
      <x:c r="AA358" s="1" t="str">
        <x:v>b2gold</x:v>
      </x:c>
      <x:c r="AB358" s="1" t="n">
        <x:v>77</x:v>
      </x:c>
      <x:c r="AC358" s="1" t="n">
        <x:v>1</x:v>
      </x:c>
      <x:c r="AD358" s="18" t="str">
        <x:v>OVERVIEW NOTICE AND ACCESS CORPORATE GOVERNANCE EXECUTIVE COMPENSATION</x:v>
      </x:c>
    </x:row>
    <x:row r="359" ht="28" customHeight="1">
      <x:c r="AA359" s="1" t="str">
        <x:v>b2gold</x:v>
      </x:c>
      <x:c r="AB359" s="1" t="n">
        <x:v>77</x:v>
      </x:c>
      <x:c r="AC359" s="1" t="n">
        <x:v>2</x:v>
      </x:c>
      <x:c r="AD359" s="18" t="str">
        <x:v>Summary Compensation Table</x:v>
      </x:c>
    </x:row>
    <x:row r="360" ht="28" customHeight="1">
      <x:c r="AA360" s="1" t="str">
        <x:v>b2gold</x:v>
      </x:c>
      <x:c r="AB360" s="1" t="n">
        <x:v>77</x:v>
      </x:c>
      <x:c r="AC360" s="1" t="n">
        <x:v>3</x:v>
      </x:c>
      <x:c r="AD360" s="18" t="str">
        <x:v>The following table is a summary of compensation earned by the Named Executive Officers for the Company’s three most</x:v>
      </x:c>
    </x:row>
    <x:row r="361" ht="28" customHeight="1">
      <x:c r="AA361" s="1" t="str">
        <x:v>b2gold</x:v>
      </x:c>
      <x:c r="AB361" s="1" t="n">
        <x:v>77</x:v>
      </x:c>
      <x:c r="AC361" s="1" t="n">
        <x:v>4</x:v>
      </x:c>
      <x:c r="AD361" s="18" t="str">
        <x:v>recently completed financial years.</x:v>
      </x:c>
    </x:row>
    <x:row r="362" ht="28" customHeight="1">
      <x:c r="AA362" s="1" t="str">
        <x:v>b2gold</x:v>
      </x:c>
      <x:c r="AB362" s="1" t="n">
        <x:v>77</x:v>
      </x:c>
      <x:c r="AC362" s="1" t="n">
        <x:v>5</x:v>
      </x:c>
      <x:c r="AD362" s="18" t="str">
        <x:v>Long-</x:v>
      </x:c>
    </x:row>
    <x:row r="363" ht="28" customHeight="1">
      <x:c r="AA363" s="1" t="str">
        <x:v>b2gold</x:v>
      </x:c>
      <x:c r="AB363" s="1" t="n">
        <x:v>77</x:v>
      </x:c>
      <x:c r="AC363" s="1" t="n">
        <x:v>6</x:v>
      </x:c>
      <x:c r="AD363" s="18" t="str">
        <x:v>Share- Option- Annual Term All Other Total</x:v>
      </x:c>
    </x:row>
    <x:row r="364" ht="28" customHeight="1">
      <x:c r="AA364" s="1" t="str">
        <x:v>b2gold</x:v>
      </x:c>
      <x:c r="AB364" s="1" t="n">
        <x:v>77</x:v>
      </x:c>
      <x:c r="AC364" s="1" t="n">
        <x:v>7</x:v>
      </x:c>
      <x:c r="AD364" s="18" t="str">
        <x:v>Based Based Incentive Incentive Compen- Compen-</x:v>
      </x:c>
    </x:row>
    <x:row r="365" ht="28" customHeight="1">
      <x:c r="AA365" s="1" t="str">
        <x:v>b2gold</x:v>
      </x:c>
      <x:c r="AB365" s="1" t="n">
        <x:v>77</x:v>
      </x:c>
      <x:c r="AC365" s="1" t="n">
        <x:v>8</x:v>
      </x:c>
      <x:c r="AD365" s="18" t="str">
        <x:v>Name and Salary Awards Awards Program Plans sation sation</x:v>
      </x:c>
    </x:row>
    <x:row r="366" ht="28" customHeight="1">
      <x:c r="AA366" s="1" t="str">
        <x:v>b2gold</x:v>
      </x:c>
      <x:c r="AB366" s="1" t="n">
        <x:v>77</x:v>
      </x:c>
      <x:c r="AC366" s="1" t="n">
        <x:v>9</x:v>
      </x:c>
      <x:c r="AD366" s="18" t="str">
        <x:v>Principal Position Year ($) ($)(1) ($) ($)(2) ($) ($)(3) ($)</x:v>
      </x:c>
    </x:row>
    <x:row r="367" ht="28" customHeight="1">
      <x:c r="AA367" s="1" t="str">
        <x:v>b2gold</x:v>
      </x:c>
      <x:c r="AB367" s="1" t="n">
        <x:v>77</x:v>
      </x:c>
      <x:c r="AC367" s="1" t="n">
        <x:v>10</x:v>
      </x:c>
      <x:c r="AD367" s="18" t="str">
        <x:v>Clive Johnson 2025 949,000 2,729,835 - 1,010,685 - 149,833 4,839,353</x:v>
      </x:c>
    </x:row>
    <x:row r="368" ht="28" customHeight="1">
      <x:c r="AA368" s="1" t="str">
        <x:v>b2gold</x:v>
      </x:c>
      <x:c r="AB368" s="1" t="n">
        <x:v>77</x:v>
      </x:c>
      <x:c r="AC368" s="1" t="n">
        <x:v>11</x:v>
      </x:c>
      <x:c r="AD368" s="18" t="str">
        <x:v>Director, President</x:v>
      </x:c>
    </x:row>
    <x:row r="369" ht="28" customHeight="1">
      <x:c r="AA369" s="1" t="str">
        <x:v>b2gold</x:v>
      </x:c>
      <x:c r="AB369" s="1" t="n">
        <x:v>77</x:v>
      </x:c>
      <x:c r="AC369" s="1" t="n">
        <x:v>12</x:v>
      </x:c>
      <x:c r="AD369" s="18" t="str">
        <x:v>2024 949,000 2,555,000 - 469,755 - 221,666 4,195,421</x:v>
      </x:c>
    </x:row>
    <x:row r="370" ht="28" customHeight="1">
      <x:c r="AA370" s="1" t="str">
        <x:v>b2gold</x:v>
      </x:c>
      <x:c r="AB370" s="1" t="n">
        <x:v>77</x:v>
      </x:c>
      <x:c r="AC370" s="1" t="n">
        <x:v>13</x:v>
      </x:c>
      <x:c r="AD370" s="18" t="str">
        <x:v>and CEO</x:v>
      </x:c>
    </x:row>
    <x:row r="371" ht="28" customHeight="1">
      <x:c r="AA371" s="1" t="str">
        <x:v>b2gold</x:v>
      </x:c>
      <x:c r="AB371" s="1" t="n">
        <x:v>77</x:v>
      </x:c>
      <x:c r="AC371" s="1" t="n">
        <x:v>14</x:v>
      </x:c>
      <x:c r="AD371" s="18" t="str">
        <x:v>2023 949,000 2,555,000 - 584,000 - 362,213 4,450,213</x:v>
      </x:c>
    </x:row>
    <x:row r="372" ht="28" customHeight="1">
      <x:c r="AA372" s="1" t="str">
        <x:v>b2gold</x:v>
      </x:c>
      <x:c r="AB372" s="1" t="n">
        <x:v>77</x:v>
      </x:c>
      <x:c r="AC372" s="1" t="n">
        <x:v>15</x:v>
      </x:c>
      <x:c r="AD372" s="18" t="str">
        <x:v>Michael Cinnamond 2025 474,500 1,547,418 - 379,007 - 59,018 2,459,943</x:v>
      </x:c>
    </x:row>
    <x:row r="373" ht="28" customHeight="1">
      <x:c r="AA373" s="1" t="str">
        <x:v>b2gold</x:v>
      </x:c>
      <x:c r="AB373" s="1" t="n">
        <x:v>77</x:v>
      </x:c>
      <x:c r="AC373" s="1" t="n">
        <x:v>16</x:v>
      </x:c>
      <x:c r="AD373" s="18" t="str">
        <x:v>Senior Vice President,</x:v>
      </x:c>
    </x:row>
    <x:row r="374" ht="28" customHeight="1">
      <x:c r="AA374" s="1" t="str">
        <x:v>b2gold</x:v>
      </x:c>
      <x:c r="AB374" s="1" t="n">
        <x:v>77</x:v>
      </x:c>
      <x:c r="AC374" s="1" t="n">
        <x:v>17</x:v>
      </x:c>
      <x:c r="AD374" s="18" t="str">
        <x:v>2024 474,500 1,277,500 - 234,878 - 71,221 2,058,099</x:v>
      </x:c>
    </x:row>
    <x:row r="375" ht="28" customHeight="1">
      <x:c r="AA375" s="1" t="str">
        <x:v>b2gold</x:v>
      </x:c>
      <x:c r="AB375" s="1" t="n">
        <x:v>77</x:v>
      </x:c>
      <x:c r="AC375" s="1" t="n">
        <x:v>18</x:v>
      </x:c>
      <x:c r="AD375" s="18" t="str">
        <x:v>Finance and CFO</x:v>
      </x:c>
    </x:row>
    <x:row r="376" ht="28" customHeight="1">
      <x:c r="AA376" s="1" t="str">
        <x:v>b2gold</x:v>
      </x:c>
      <x:c r="AB376" s="1" t="n">
        <x:v>77</x:v>
      </x:c>
      <x:c r="AC376" s="1" t="n">
        <x:v>19</x:v>
      </x:c>
      <x:c r="AD376" s="18" t="str">
        <x:v>2023 474,500 1,277,500 - 355,875 - 112,238 2,220,113</x:v>
      </x:c>
    </x:row>
    <x:row r="377" ht="28" customHeight="1">
      <x:c r="AA377" s="1" t="str">
        <x:v>b2gold</x:v>
      </x:c>
      <x:c r="AB377" s="1" t="n">
        <x:v>77</x:v>
      </x:c>
      <x:c r="AC377" s="1" t="n">
        <x:v>20</x:v>
      </x:c>
      <x:c r="AD377" s="18" t="str">
        <x:v>William Lytle 2025 474,500 1,547,418 - 379,007 - 54,517 2,455,442</x:v>
      </x:c>
    </x:row>
    <x:row r="378" ht="28" customHeight="1">
      <x:c r="AA378" s="1" t="str">
        <x:v>b2gold</x:v>
      </x:c>
      <x:c r="AB378" s="1" t="n">
        <x:v>77</x:v>
      </x:c>
      <x:c r="AC378" s="1" t="n">
        <x:v>21</x:v>
      </x:c>
      <x:c r="AD378" s="18" t="str">
        <x:v>Senior Vice President,</x:v>
      </x:c>
    </x:row>
    <x:row r="379" ht="28" customHeight="1">
      <x:c r="AA379" s="1" t="str">
        <x:v>b2gold</x:v>
      </x:c>
      <x:c r="AB379" s="1" t="n">
        <x:v>77</x:v>
      </x:c>
      <x:c r="AC379" s="1" t="n">
        <x:v>22</x:v>
      </x:c>
      <x:c r="AD379" s="18" t="str">
        <x:v>2024 474,500 1,277,500 - 234,878 - 66,876 2,053,754</x:v>
      </x:c>
    </x:row>
    <x:row r="380" ht="28" customHeight="1">
      <x:c r="AA380" s="1" t="str">
        <x:v>b2gold</x:v>
      </x:c>
      <x:c r="AB380" s="1" t="n">
        <x:v>77</x:v>
      </x:c>
      <x:c r="AC380" s="1" t="n">
        <x:v>23</x:v>
      </x:c>
      <x:c r="AD380" s="18" t="str">
        <x:v>Operations and COO</x:v>
      </x:c>
    </x:row>
    <x:row r="381" ht="28" customHeight="1">
      <x:c r="AA381" s="1" t="str">
        <x:v>b2gold</x:v>
      </x:c>
      <x:c r="AB381" s="1" t="n">
        <x:v>77</x:v>
      </x:c>
      <x:c r="AC381" s="1" t="n">
        <x:v>24</x:v>
      </x:c>
      <x:c r="AD381" s="18" t="str">
        <x:v>2023 474,500 1,277,500 - 355,875 - 107,893 2,215,768</x:v>
      </x:c>
    </x:row>
    <x:row r="382" ht="28" customHeight="1">
      <x:c r="AA382" s="1" t="str">
        <x:v>b2gold</x:v>
      </x:c>
      <x:c r="AB382" s="1" t="n">
        <x:v>77</x:v>
      </x:c>
      <x:c r="AC382" s="1" t="n">
        <x:v>25</x:v>
      </x:c>
      <x:c r="AD382" s="18" t="str">
        <x:v>Randall Chatwin 2025 456,250 1,510,918 - 364,430 - 46,916 2,378,514</x:v>
      </x:c>
    </x:row>
    <x:row r="383" ht="28" customHeight="1">
      <x:c r="AA383" s="1" t="str">
        <x:v>b2gold</x:v>
      </x:c>
      <x:c r="AB383" s="1" t="n">
        <x:v>77</x:v>
      </x:c>
      <x:c r="AC383" s="1" t="n">
        <x:v>26</x:v>
      </x:c>
      <x:c r="AD383" s="18" t="str">
        <x:v>Senior Vice President,</x:v>
      </x:c>
    </x:row>
    <x:row r="384" ht="28" customHeight="1">
      <x:c r="AA384" s="1" t="str">
        <x:v>b2gold</x:v>
      </x:c>
      <x:c r="AB384" s="1" t="n">
        <x:v>77</x:v>
      </x:c>
      <x:c r="AC384" s="1" t="n">
        <x:v>27</x:v>
      </x:c>
      <x:c r="AD384" s="18" t="str">
        <x:v>2024 456,250 1,241,000 - 225,844 - 31,259 1,954,353</x:v>
      </x:c>
    </x:row>
    <x:row r="385" ht="28" customHeight="1">
      <x:c r="AA385" s="1" t="str">
        <x:v>b2gold</x:v>
      </x:c>
      <x:c r="AB385" s="1" t="n">
        <x:v>77</x:v>
      </x:c>
      <x:c r="AC385" s="1" t="n">
        <x:v>28</x:v>
      </x:c>
      <x:c r="AD385" s="18" t="str">
        <x:v>Legal and Corporate</x:v>
      </x:c>
    </x:row>
    <x:row r="386" ht="28" customHeight="1">
      <x:c r="AA386" s="1" t="str">
        <x:v>b2gold</x:v>
      </x:c>
      <x:c r="AB386" s="1" t="n">
        <x:v>77</x:v>
      </x:c>
      <x:c r="AC386" s="1" t="n">
        <x:v>29</x:v>
      </x:c>
      <x:c r="AD386" s="18" t="str">
        <x:v>Communications 2023 438,000 1,204,500 - 328,500 - 30,025 2,001,025</x:v>
      </x:c>
    </x:row>
    <x:row r="387" ht="28" customHeight="1">
      <x:c r="AA387" s="1" t="str">
        <x:v>b2gold</x:v>
      </x:c>
      <x:c r="AB387" s="1" t="n">
        <x:v>77</x:v>
      </x:c>
      <x:c r="AC387" s="1" t="n">
        <x:v>30</x:v>
      </x:c>
      <x:c r="AD387" s="18" t="str">
        <x:v>Victor King 2025 438,000 1,328,418 - 349,853 - 49,920 2,166,191</x:v>
      </x:c>
    </x:row>
    <x:row r="388" ht="28" customHeight="1">
      <x:c r="AA388" s="1" t="str">
        <x:v>b2gold</x:v>
      </x:c>
      <x:c r="AB388" s="1" t="n">
        <x:v>77</x:v>
      </x:c>
      <x:c r="AC388" s="1" t="n">
        <x:v>31</x:v>
      </x:c>
      <x:c r="AD388" s="18" t="str">
        <x:v>Senior Vice President,</x:v>
      </x:c>
    </x:row>
    <x:row r="389" ht="28" customHeight="1">
      <x:c r="AA389" s="1" t="str">
        <x:v>b2gold</x:v>
      </x:c>
      <x:c r="AB389" s="1" t="n">
        <x:v>77</x:v>
      </x:c>
      <x:c r="AC389" s="1" t="n">
        <x:v>32</x:v>
      </x:c>
      <x:c r="AD389" s="18" t="str">
        <x:v>2024 438,000 1,058,500 - 216,810 - 32,173 1,745,483</x:v>
      </x:c>
    </x:row>
    <x:row r="390" ht="28" customHeight="1">
      <x:c r="AA390" s="1" t="str">
        <x:v>b2gold</x:v>
      </x:c>
      <x:c r="AB390" s="1" t="n">
        <x:v>77</x:v>
      </x:c>
      <x:c r="AC390" s="1" t="n">
        <x:v>33</x:v>
      </x:c>
      <x:c r="AD390" s="18" t="str">
        <x:v>Exploration</x:v>
      </x:c>
    </x:row>
    <x:row r="391" ht="28" customHeight="1">
      <x:c r="AA391" s="1" t="str">
        <x:v>b2gold</x:v>
      </x:c>
      <x:c r="AB391" s="1" t="n">
        <x:v>77</x:v>
      </x:c>
      <x:c r="AC391" s="1" t="n">
        <x:v>34</x:v>
      </x:c>
      <x:c r="AD391" s="18" t="str">
        <x:v>2023 438,000 1,058,500 - 284,700 - 21,469 1,802,669</x:v>
      </x:c>
    </x:row>
    <x:row r="392" ht="28" customHeight="1">
      <x:c r="AA392" s="1" t="str">
        <x:v>b2gold</x:v>
      </x:c>
      <x:c r="AB392" s="1" t="n">
        <x:v>77</x:v>
      </x:c>
      <x:c r="AC392" s="1" t="n">
        <x:v>35</x:v>
      </x:c>
      <x:c r="AD392" s="18" t="str">
        <x:v>Notes:</x:v>
      </x:c>
    </x:row>
    <x:row r="393" ht="28" customHeight="1">
      <x:c r="AA393" s="1" t="str">
        <x:v>b2gold</x:v>
      </x:c>
      <x:c r="AB393" s="1" t="n">
        <x:v>77</x:v>
      </x:c>
      <x:c r="AC393" s="1" t="n">
        <x:v>36</x:v>
      </x:c>
      <x:c r="AD393" s="18" t="str">
        <x:v>(1) All share-based awards listed in the table above reflect a dollar amount of RSUs and PSUs granted to each Named Executive Officer as follows:</x:v>
      </x:c>
    </x:row>
    <x:row r="394" ht="28" customHeight="1">
      <x:c r="AA394" s="1" t="str">
        <x:v>b2gold</x:v>
      </x:c>
      <x:c r="AB394" s="1" t="n">
        <x:v>77</x:v>
      </x:c>
      <x:c r="AC394" s="1" t="n">
        <x:v>37</x:v>
      </x:c>
      <x:c r="AD394" s="18" t="str">
        <x:v>(i) F or the year ended December 31, 2025, 411,523 RSUs and nil PSUs were granted to Mr. Johnson in light of his retirement effective June 4, 2026; 120,027 RSUs</x:v>
      </x:c>
    </x:row>
    <x:row r="395" ht="28" customHeight="1">
      <x:c r="AA395" s="1" t="str">
        <x:v>b2gold</x:v>
      </x:c>
      <x:c r="AB395" s="1" t="n">
        <x:v>77</x:v>
      </x:c>
      <x:c r="AC395" s="1" t="n">
        <x:v>38</x:v>
      </x:c>
      <x:c r="AD395" s="18" t="str">
        <x:v> and</x:v>
      </x:c>
    </x:row>
    <x:row r="396" ht="28" customHeight="1">
      <x:c r="AA396" s="1" t="str">
        <x:v>b2gold</x:v>
      </x:c>
      <x:c r="AB396" s="1" t="n">
        <x:v>77</x:v>
      </x:c>
      <x:c r="AC396" s="1" t="n">
        <x:v>39</x:v>
      </x:c>
      <x:c r="AD396" s="18" t="str">
        <x:v>120,027 PSUs were granted to each of Messrs. Cinnamond and Lytle; 116,598 RSUs and 116,598 PSUs to Mr. Chatwin; and 99,451 RSUs and 99,451 PSUs granted to</x:v>
      </x:c>
    </x:row>
    <x:row r="397" ht="28" customHeight="1">
      <x:c r="AA397" s="1" t="str">
        <x:v>b2gold</x:v>
      </x:c>
      <x:c r="AB397" s="1" t="n">
        <x:v>77</x:v>
      </x:c>
      <x:c r="AC397" s="1" t="n">
        <x:v>40</x:v>
      </x:c>
      <x:c r="AD397" s="18" t="str">
        <x:v>Mr. King, in each case, granted on March 10, 2026 in respect of 2025 compensation.</x:v>
      </x:c>
    </x:row>
    <x:row r="398" ht="28" customHeight="1">
      <x:c r="AA398" s="1" t="str">
        <x:v>b2gold</x:v>
      </x:c>
      <x:c r="AB398" s="1" t="n">
        <x:v>77</x:v>
      </x:c>
      <x:c r="AC398" s="1" t="n">
        <x:v>41</x:v>
      </x:c>
      <x:c r="AD398" s="18" t="str">
        <x:v>(ii) O n June 30, 2025 a Discretionary grant of RSUs in the amount of 150,000 was granted to Mr. Johnson, and Messrs. Cinnamond, Lytle, Chatwin and King each</x:v>
      </x:c>
    </x:row>
    <x:row r="399" ht="28" customHeight="1">
      <x:c r="AA399" s="1" t="str">
        <x:v>b2gold</x:v>
      </x:c>
      <x:c r="AB399" s="1" t="n">
        <x:v>77</x:v>
      </x:c>
      <x:c r="AC399" s="1" t="n">
        <x:v>42</x:v>
      </x:c>
      <x:c r="AD399" s="18" t="str">
        <x:v>received a grant in the amount of 75,000.</x:v>
      </x:c>
    </x:row>
    <x:row r="400" ht="28" customHeight="1">
      <x:c r="AA400" s="1" t="str">
        <x:v>b2gold</x:v>
      </x:c>
      <x:c r="AB400" s="1" t="n">
        <x:v>77</x:v>
      </x:c>
      <x:c r="AC400" s="1" t="n">
        <x:v>43</x:v>
      </x:c>
      <x:c r="AD400" s="18" t="str">
        <x:v>(iii) F or the year ended December 31, 2024, 353,535 RSUs and 530,303 PSUs granted to Mr. Johnson who had requested a voluntary reduction from his target award</x:v>
      </x:c>
    </x:row>
    <x:row r="401" ht="28" customHeight="1">
      <x:c r="AA401" s="1" t="str">
        <x:v>b2gold</x:v>
      </x:c>
      <x:c r="AB401" s="1" t="n">
        <x:v>77</x:v>
      </x:c>
      <x:c r="AC401" s="1" t="n">
        <x:v>44</x:v>
      </x:c>
      <x:c r="AD401" s="18" t="str">
        <x:v>levels in alignment with Shareholders’ experience during 2024; 220,960 RSUs and 220,960 PSUs granted to each of Messrs. Cinnamond and Lytle; 214,646 RSUs</x:v>
      </x:c>
    </x:row>
    <x:row r="402" ht="28" customHeight="1">
      <x:c r="AA402" s="1" t="str">
        <x:v>b2gold</x:v>
      </x:c>
      <x:c r="AB402" s="1" t="n">
        <x:v>77</x:v>
      </x:c>
      <x:c r="AC402" s="1" t="n">
        <x:v>45</x:v>
      </x:c>
      <x:c r="AD402" s="18" t="str">
        <x:v>and 214,646 PSUs to Mr. Chatwin; and 183,081 RSUs and 183,081 PSUs granted to Mr. King, in each case, on March 4, 2025 in respect of 2024 compensation.</x:v>
      </x:c>
    </x:row>
    <x:row r="403" ht="28" customHeight="1">
      <x:c r="AA403" s="1" t="str">
        <x:v>b2gold</x:v>
      </x:c>
      <x:c r="AB403" s="1" t="n">
        <x:v>77</x:v>
      </x:c>
      <x:c r="AC403" s="1" t="n">
        <x:v>46</x:v>
      </x:c>
      <x:c r="AD403" s="18" t="str">
        <x:v>(iv) F or the year ended December 31, 2023, 412,979 RSUs and 619,469 PSUs granted to Mr. Johnson who had requested a voluntary reduction from his target award</x:v>
      </x:c>
    </x:row>
    <x:row r="404" ht="28" customHeight="1">
      <x:c r="AA404" s="1" t="str">
        <x:v>b2gold</x:v>
      </x:c>
      <x:c r="AB404" s="1" t="n">
        <x:v>77</x:v>
      </x:c>
      <x:c r="AC404" s="1" t="n">
        <x:v>47</x:v>
      </x:c>
      <x:c r="AD404" s="18" t="str">
        <x:v>levels in alignment with Shareholders’ experience during 2023; 258,112 RSUs and 258,112 PSUs granted to each of Messrs. Cinnamond and Lytle; 243,363 RSUs and</x:v>
      </x:c>
    </x:row>
    <x:row r="405" ht="28" customHeight="1">
      <x:c r="AA405" s="1" t="str">
        <x:v>b2gold</x:v>
      </x:c>
      <x:c r="AB405" s="1" t="n">
        <x:v>77</x:v>
      </x:c>
      <x:c r="AC405" s="1" t="n">
        <x:v>48</x:v>
      </x:c>
      <x:c r="AD405" s="18" t="str">
        <x:v>243,363 PSUs to Mr. Chatwin; and 213,864 RSUs and 213,864 PSUs granted to Mr. King, in each case, granted on March 6, 2024 in respect of 2023 compensation.</x:v>
      </x:c>
    </x:row>
    <x:row r="406" ht="28" customHeight="1">
      <x:c r="AA406" s="1" t="str">
        <x:v>b2gold</x:v>
      </x:c>
      <x:c r="AB406" s="1" t="n">
        <x:v>77</x:v>
      </x:c>
      <x:c r="AC406" s="1" t="n">
        <x:v>49</x:v>
      </x:c>
      <x:c r="AD406" s="18" t="str">
        <x:v>Fair value of the RSUs and PSUs was calculated using the VWAP of the Common Shares on the TSX calculated over the five trading days immediately preceding</x:v>
      </x:c>
    </x:row>
    <x:row r="407" ht="28" customHeight="1">
      <x:c r="AA407" s="1" t="str">
        <x:v>b2gold</x:v>
      </x:c>
      <x:c r="AB407" s="1" t="n">
        <x:v>77</x:v>
      </x:c>
      <x:c r="AC407" s="1" t="n">
        <x:v>50</x:v>
      </x:c>
      <x:c r="AD407" s="18" t="str">
        <x:v>the date of such grant in each of 2023, 2024 and 2025. In respect of PSUs only, the Compensation Committee determines a Performance Percentage (as defined</x:v>
      </x:c>
    </x:row>
    <x:row r="408" ht="28" customHeight="1">
      <x:c r="AA408" s="1" t="str">
        <x:v>b2gold</x:v>
      </x:c>
      <x:c r="AB408" s="1" t="n">
        <x:v>77</x:v>
      </x:c>
      <x:c r="AC408" s="1" t="n">
        <x:v>51</x:v>
      </x:c>
      <x:c r="AD408" s="18" t="str">
        <x:v>in the PSU Plan) from 0-200% based on the performance of the PSU holder against pre-set targets. This table assumes a Performance Percentage of 100%.</x:v>
      </x:c>
    </x:row>
    <x:row r="409" ht="28" customHeight="1">
      <x:c r="AA409" s="1" t="str">
        <x:v>b2gold</x:v>
      </x:c>
      <x:c r="AB409" s="1" t="n">
        <x:v>77</x:v>
      </x:c>
      <x:c r="AC409" s="1" t="n">
        <x:v>52</x:v>
      </x:c>
      <x:c r="AD409" s="18" t="str">
        <x:v>For more information on the RSU Plan and the PSU Plan, please see Schedule “A” to this Circular.</x:v>
      </x:c>
    </x:row>
    <x:row r="410" ht="28" customHeight="1">
      <x:c r="AA410" s="1" t="str">
        <x:v>b2gold</x:v>
      </x:c>
      <x:c r="AB410" s="1" t="n">
        <x:v>77</x:v>
      </x:c>
      <x:c r="AC410" s="1" t="n">
        <x:v>53</x:v>
      </x:c>
      <x:c r="AD410" s="18" t="str">
        <x:v>(2) C ash bonus, paid in March 2026, for services performed for the financial year ended December 31, 2025. Cash bonuses are paid in the first six months of the</x:v>
      </x:c>
    </x:row>
    <x:row r="411" ht="28" customHeight="1">
      <x:c r="AA411" s="1" t="str">
        <x:v>b2gold</x:v>
      </x:c>
      <x:c r="AB411" s="1" t="n">
        <x:v>77</x:v>
      </x:c>
      <x:c r="AC411" s="1" t="n">
        <x:v>54</x:v>
      </x:c>
      <x:c r="AD411" s="18" t="str">
        <x:v> year</x:v>
      </x:c>
    </x:row>
    <x:row r="412" ht="28" customHeight="1">
      <x:c r="AA412" s="1" t="str">
        <x:v>b2gold</x:v>
      </x:c>
      <x:c r="AB412" s="1" t="n">
        <x:v>77</x:v>
      </x:c>
      <x:c r="AC412" s="1" t="n">
        <x:v>55</x:v>
      </x:c>
      <x:c r="AD412" s="18" t="str">
        <x:v>following the fiscal year to which the STI payment relates.</x:v>
      </x:c>
    </x:row>
    <x:row r="413" ht="28" customHeight="1">
      <x:c r="AA413" s="1" t="str">
        <x:v>b2gold</x:v>
      </x:c>
      <x:c r="AB413" s="1" t="n">
        <x:v>77</x:v>
      </x:c>
      <x:c r="AC413" s="1" t="n">
        <x:v>56</x:v>
      </x:c>
      <x:c r="AD413" s="18" t="str">
        <x:v>(3) All other compensation for 2025 is comprised of:</x:v>
      </x:c>
    </x:row>
    <x:row r="414" ht="28" customHeight="1">
      <x:c r="AA414" s="1" t="str">
        <x:v>b2gold</x:v>
      </x:c>
      <x:c r="AB414" s="1" t="n">
        <x:v>77</x:v>
      </x:c>
      <x:c r="AC414" s="1" t="n">
        <x:v>57</x:v>
      </x:c>
      <x:c r="AD414" s="18" t="str">
        <x:v>(i) Parking costs and/or wellness allowance.</x:v>
      </x:c>
    </x:row>
    <x:row r="415" ht="28" customHeight="1">
      <x:c r="AA415" s="1" t="str">
        <x:v>b2gold</x:v>
      </x:c>
      <x:c r="AB415" s="1" t="n">
        <x:v>77</x:v>
      </x:c>
      <x:c r="AC415" s="1" t="n">
        <x:v>58</x:v>
      </x:c>
      <x:c r="AD415" s="18" t="str">
        <x:v>(ii) T he dollar value of dividend equivalent units vested under the RSU Plan for 2025 was as follows: a) $144,602 for Clive Johnson, b) $53,787 for each of Mes</x:v>
      </x:c>
    </x:row>
    <x:row r="416" ht="28" customHeight="1">
      <x:c r="AA416" s="1" t="str">
        <x:v>b2gold</x:v>
      </x:c>
      <x:c r="AB416" s="1" t="n">
        <x:v>77</x:v>
      </x:c>
      <x:c r="AC416" s="1" t="n">
        <x:v>59</x:v>
      </x:c>
      <x:c r="AD416" s="18" t="str">
        <x:v>srs.</x:v>
      </x:c>
    </x:row>
    <x:row r="417" ht="28" customHeight="1">
      <x:c r="AA417" s="1" t="str">
        <x:v>b2gold</x:v>
      </x:c>
      <x:c r="AB417" s="1" t="n">
        <x:v>77</x:v>
      </x:c>
      <x:c r="AC417" s="1" t="n">
        <x:v>60</x:v>
      </x:c>
      <x:c r="AD417" s="18" t="str">
        <x:v>Cinnamond and Lytle, c) $41,684 for Mr. Chatwin and d) $44,686 for Mr. King.</x:v>
      </x:c>
    </x:row>
    <x:row r="418" ht="28" customHeight="1">
      <x:c r="AA418" s="1" t="str">
        <x:v>b2gold</x:v>
      </x:c>
      <x:c r="AB418" s="1" t="n">
        <x:v>77</x:v>
      </x:c>
      <x:c r="AC418" s="1" t="n">
        <x:v>61</x:v>
      </x:c>
      <x:c r="AD418" s="18" t="str">
        <x:v>(iii) There were no dollar value of dividend equivalent units vested under the PSU Plan for 2025 as these PSUs vested at nil.</x:v>
      </x:c>
    </x:row>
    <x:row r="419" ht="28" customHeight="1">
      <x:c r="AA419" s="1" t="str">
        <x:v>b2gold</x:v>
      </x:c>
      <x:c r="AB419" s="1" t="n">
        <x:v>77</x:v>
      </x:c>
      <x:c r="AC419" s="1" t="n">
        <x:v>62</x:v>
      </x:c>
      <x:c r="AD419" s="18" t="str">
        <x:v>B2GOLD 2026 Management Information Circular 75.</x:v>
      </x:c>
    </x:row>
    <x:row r="420" ht="28" customHeight="1">
      <x:c r="AA420" s="1" t="str">
        <x:v>b2gold_financials</x:v>
      </x:c>
      <x:c r="AB420" s="1" t="n">
        <x:v>160</x:v>
      </x:c>
      <x:c r="AC420" s="1" t="n">
        <x:v>1</x:v>
      </x:c>
      <x:c r="AD420" s="18" t="str">
        <x:v>B2GOLD CORP.</x:v>
      </x:c>
    </x:row>
    <x:row r="421" ht="28" customHeight="1">
      <x:c r="AA421" s="1" t="str">
        <x:v>b2gold_financials</x:v>
      </x:c>
      <x:c r="AB421" s="1" t="n">
        <x:v>160</x:v>
      </x:c>
      <x:c r="AC421" s="1" t="n">
        <x:v>2</x:v>
      </x:c>
      <x:c r="AD421" s="18" t="str">
        <x:v>CONSOLIDATED STATEMENTS OF OPERATIONS</x:v>
      </x:c>
    </x:row>
    <x:row r="422" ht="28" customHeight="1">
      <x:c r="AA422" s="1" t="str">
        <x:v>b2gold_financials</x:v>
      </x:c>
      <x:c r="AB422" s="1" t="n">
        <x:v>160</x:v>
      </x:c>
      <x:c r="AC422" s="1" t="n">
        <x:v>3</x:v>
      </x:c>
      <x:c r="AD422" s="18" t="str">
        <x:v>FOR THE YEARS ENDED DECEMBER 31</x:v>
      </x:c>
    </x:row>
    <x:row r="423" ht="28" customHeight="1">
      <x:c r="AA423" s="1" t="str">
        <x:v>b2gold_financials</x:v>
      </x:c>
      <x:c r="AB423" s="1" t="n">
        <x:v>160</x:v>
      </x:c>
      <x:c r="AC423" s="1" t="n">
        <x:v>4</x:v>
      </x:c>
      <x:c r="AD423" s="18" t="str">
        <x:v>(Expressed in thousands of United States dollars, except shares and per share amounts)</x:v>
      </x:c>
    </x:row>
    <x:row r="424" ht="28" customHeight="1">
      <x:c r="AA424" s="1" t="str">
        <x:v>b2gold_financials</x:v>
      </x:c>
      <x:c r="AB424" s="1" t="n">
        <x:v>160</x:v>
      </x:c>
      <x:c r="AC424" s="1" t="n">
        <x:v>5</x:v>
      </x:c>
      <x:c r="AD424" s="18" t="str">
        <x:v>2025 2024</x:v>
      </x:c>
    </x:row>
    <x:row r="425" ht="28" customHeight="1">
      <x:c r="AA425" s="1" t="str">
        <x:v>b2gold_financials</x:v>
      </x:c>
      <x:c r="AB425" s="1" t="n">
        <x:v>160</x:v>
      </x:c>
      <x:c r="AC425" s="1" t="n">
        <x:v>6</x:v>
      </x:c>
      <x:c r="AD425" s="18" t="str">
        <x:v>Gold revenue $ 3,061,238 $ 1,902,030</x:v>
      </x:c>
    </x:row>
    <x:row r="426" ht="28" customHeight="1">
      <x:c r="AA426" s="1" t="str">
        <x:v>b2gold_financials</x:v>
      </x:c>
      <x:c r="AB426" s="1" t="n">
        <x:v>160</x:v>
      </x:c>
      <x:c r="AC426" s="1" t="n">
        <x:v>7</x:v>
      </x:c>
      <x:c r="AD426" s="18" t="str">
        <x:v>Cost of sales</x:v>
      </x:c>
    </x:row>
    <x:row r="427" ht="28" customHeight="1">
      <x:c r="AA427" s="1" t="str">
        <x:v>b2gold_financials</x:v>
      </x:c>
      <x:c r="AB427" s="1" t="n">
        <x:v>160</x:v>
      </x:c>
      <x:c r="AC427" s="1" t="n">
        <x:v>8</x:v>
      </x:c>
      <x:c r="AD427" s="18" t="str">
        <x:v>Production costs (Note 24) (745,446) (681,828)</x:v>
      </x:c>
    </x:row>
    <x:row r="428" ht="28" customHeight="1">
      <x:c r="AA428" s="1" t="str">
        <x:v>b2gold_financials</x:v>
      </x:c>
      <x:c r="AB428" s="1" t="n">
        <x:v>160</x:v>
      </x:c>
      <x:c r="AC428" s="1" t="n">
        <x:v>9</x:v>
      </x:c>
      <x:c r="AD428" s="18" t="str">
        <x:v>Depreciation and depletion (Note 9) (440,831) (367,408)</x:v>
      </x:c>
    </x:row>
    <x:row r="429" ht="28" customHeight="1">
      <x:c r="AA429" s="1" t="str">
        <x:v>b2gold_financials</x:v>
      </x:c>
      <x:c r="AB429" s="1" t="n">
        <x:v>160</x:v>
      </x:c>
      <x:c r="AC429" s="1" t="n">
        <x:v>10</x:v>
      </x:c>
      <x:c r="AD429" s="18" t="str">
        <x:v>Royalties and production taxes (344,178) (146,599)</x:v>
      </x:c>
    </x:row>
    <x:row r="430" ht="28" customHeight="1">
      <x:c r="AA430" s="1" t="str">
        <x:v>b2gold_financials</x:v>
      </x:c>
      <x:c r="AB430" s="1" t="n">
        <x:v>160</x:v>
      </x:c>
      <x:c r="AC430" s="1" t="n">
        <x:v>11</x:v>
      </x:c>
      <x:c r="AD430" s="18" t="str">
        <x:v>Total cost of sales (1,530,455) (1,195,835)</x:v>
      </x:c>
    </x:row>
    <x:row r="431" ht="28" customHeight="1">
      <x:c r="AA431" s="1" t="str">
        <x:v>b2gold_financials</x:v>
      </x:c>
      <x:c r="AB431" s="1" t="n">
        <x:v>160</x:v>
      </x:c>
      <x:c r="AC431" s="1" t="n">
        <x:v>12</x:v>
      </x:c>
      <x:c r="AD431" s="18" t="str">
        <x:v>Gross profit 1,530,783 706,195</x:v>
      </x:c>
    </x:row>
    <x:row r="432" ht="28" customHeight="1">
      <x:c r="AA432" s="1" t="str">
        <x:v>b2gold_financials</x:v>
      </x:c>
      <x:c r="AB432" s="1" t="n">
        <x:v>160</x:v>
      </x:c>
      <x:c r="AC432" s="1" t="n">
        <x:v>13</x:v>
      </x:c>
      <x:c r="AD432" s="18" t="str">
        <x:v>General and administrative (67,087) (59,483)</x:v>
      </x:c>
    </x:row>
    <x:row r="433" ht="28" customHeight="1">
      <x:c r="AA433" s="1" t="str">
        <x:v>b2gold_financials</x:v>
      </x:c>
      <x:c r="AB433" s="1" t="n">
        <x:v>160</x:v>
      </x:c>
      <x:c r="AC433" s="1" t="n">
        <x:v>14</x:v>
      </x:c>
      <x:c r="AD433" s="18" t="str">
        <x:v>Share-based payments (Note 14) (24,954) (24,678)</x:v>
      </x:c>
    </x:row>
    <x:row r="434" ht="28" customHeight="1">
      <x:c r="AA434" s="1" t="str">
        <x:v>b2gold_financials</x:v>
      </x:c>
      <x:c r="AB434" s="1" t="n">
        <x:v>160</x:v>
      </x:c>
      <x:c r="AC434" s="1" t="n">
        <x:v>15</x:v>
      </x:c>
      <x:c r="AD434" s="18" t="str">
        <x:v>Non-recoverable input taxes (14,391) (13,211)</x:v>
      </x:c>
    </x:row>
    <x:row r="435" ht="28" customHeight="1">
      <x:c r="AA435" s="1" t="str">
        <x:v>b2gold_financials</x:v>
      </x:c>
      <x:c r="AB435" s="1" t="n">
        <x:v>160</x:v>
      </x:c>
      <x:c r="AC435" s="1" t="n">
        <x:v>16</x:v>
      </x:c>
      <x:c r="AD435" s="18" t="str">
        <x:v>Foreign exchange losses (9,745) (23,692)</x:v>
      </x:c>
    </x:row>
    <x:row r="436" ht="28" customHeight="1">
      <x:c r="AA436" s="1" t="str">
        <x:v>b2gold_financials</x:v>
      </x:c>
      <x:c r="AB436" s="1" t="n">
        <x:v>160</x:v>
      </x:c>
      <x:c r="AC436" s="1" t="n">
        <x:v>17</x:v>
      </x:c>
      <x:c r="AD436" s="18" t="str">
        <x:v>Share of net (loss) income of associates (Note 10) (755) 2,630</x:v>
      </x:c>
    </x:row>
    <x:row r="437" ht="28" customHeight="1">
      <x:c r="AA437" s="1" t="str">
        <x:v>b2gold_financials</x:v>
      </x:c>
      <x:c r="AB437" s="1" t="n">
        <x:v>160</x:v>
      </x:c>
      <x:c r="AC437" s="1" t="n">
        <x:v>18</x:v>
      </x:c>
      <x:c r="AD437" s="18" t="str">
        <x:v>Community relations (12,510) (2,909)</x:v>
      </x:c>
    </x:row>
    <x:row r="438" ht="28" customHeight="1">
      <x:c r="AA438" s="1" t="str">
        <x:v>b2gold_financials</x:v>
      </x:c>
      <x:c r="AB438" s="1" t="n">
        <x:v>160</x:v>
      </x:c>
      <x:c r="AC438" s="1" t="n">
        <x:v>19</x:v>
      </x:c>
      <x:c r="AD438" s="18" t="str">
        <x:v>Write-down of mining interests (Note 9) (5,118) (636)</x:v>
      </x:c>
    </x:row>
    <x:row r="439" ht="28" customHeight="1">
      <x:c r="AA439" s="1" t="str">
        <x:v>b2gold_financials</x:v>
      </x:c>
      <x:c r="AB439" s="1" t="n">
        <x:v>160</x:v>
      </x:c>
      <x:c r="AC439" s="1" t="n">
        <x:v>20</x:v>
      </x:c>
      <x:c r="AD439" s="18" t="str">
        <x:v>Impairment of long-lived assets (Notes 9) — (876,376)</x:v>
      </x:c>
    </x:row>
    <x:row r="440" ht="28" customHeight="1">
      <x:c r="AA440" s="1" t="str">
        <x:v>b2gold_financials</x:v>
      </x:c>
      <x:c r="AB440" s="1" t="n">
        <x:v>160</x:v>
      </x:c>
      <x:c r="AC440" s="1" t="n">
        <x:v>21</x:v>
      </x:c>
      <x:c r="AD440" s="18" t="str">
        <x:v>Gain on sale of mining interests (Note 9) — 56,115</x:v>
      </x:c>
    </x:row>
    <x:row r="441" ht="28" customHeight="1">
      <x:c r="AA441" s="1" t="str">
        <x:v>b2gold_financials</x:v>
      </x:c>
      <x:c r="AB441" s="1" t="n">
        <x:v>160</x:v>
      </x:c>
      <x:c r="AC441" s="1" t="n">
        <x:v>22</x:v>
      </x:c>
      <x:c r="AD441" s="18" t="str">
        <x:v>Gain on sale of shares in associate (Note 10) — 16,822</x:v>
      </x:c>
    </x:row>
    <x:row r="442" ht="28" customHeight="1">
      <x:c r="AA442" s="1" t="str">
        <x:v>b2gold_financials</x:v>
      </x:c>
      <x:c r="AB442" s="1" t="n">
        <x:v>160</x:v>
      </x:c>
      <x:c r="AC442" s="1" t="n">
        <x:v>23</x:v>
      </x:c>
      <x:c r="AD442" s="18" t="str">
        <x:v>Other expense (Note 16) (13,964) (29,104)</x:v>
      </x:c>
    </x:row>
    <x:row r="443" ht="28" customHeight="1">
      <x:c r="AA443" s="1" t="str">
        <x:v>b2gold_financials</x:v>
      </x:c>
      <x:c r="AB443" s="1" t="n">
        <x:v>160</x:v>
      </x:c>
      <x:c r="AC443" s="1" t="n">
        <x:v>24</x:v>
      </x:c>
      <x:c r="AD443" s="18" t="str">
        <x:v>Operating income (loss) 1,382,259 (248,327)</x:v>
      </x:c>
    </x:row>
    <x:row r="444" ht="28" customHeight="1">
      <x:c r="AA444" s="1" t="str">
        <x:v>b2gold_financials</x:v>
      </x:c>
      <x:c r="AB444" s="1" t="n">
        <x:v>160</x:v>
      </x:c>
      <x:c r="AC444" s="1" t="n">
        <x:v>25</x:v>
      </x:c>
      <x:c r="AD444" s="18" t="str">
        <x:v>Losses on derivative instruments (Note 17) (266,794) (2,837)</x:v>
      </x:c>
    </x:row>
    <x:row r="445" ht="28" customHeight="1">
      <x:c r="AA445" s="1" t="str">
        <x:v>b2gold_financials</x:v>
      </x:c>
      <x:c r="AB445" s="1" t="n">
        <x:v>160</x:v>
      </x:c>
      <x:c r="AC445" s="1" t="n">
        <x:v>26</x:v>
      </x:c>
      <x:c r="AD445" s="18" t="str">
        <x:v>Change in fair value of gold stream (Note 18) (118,364) (26,825)</x:v>
      </x:c>
    </x:row>
    <x:row r="446" ht="28" customHeight="1">
      <x:c r="AA446" s="1" t="str">
        <x:v>b2gold_financials</x:v>
      </x:c>
      <x:c r="AB446" s="1" t="n">
        <x:v>160</x:v>
      </x:c>
      <x:c r="AC446" s="1" t="n">
        <x:v>27</x:v>
      </x:c>
      <x:c r="AD446" s="18" t="str">
        <x:v>Interest and financing expense (37,702) (34,848)</x:v>
      </x:c>
    </x:row>
    <x:row r="447" ht="28" customHeight="1">
      <x:c r="AA447" s="1" t="str">
        <x:v>b2gold_financials</x:v>
      </x:c>
      <x:c r="AB447" s="1" t="n">
        <x:v>160</x:v>
      </x:c>
      <x:c r="AC447" s="1" t="n">
        <x:v>28</x:v>
      </x:c>
      <x:c r="AD447" s="18" t="str">
        <x:v>Interest income 12,448 20,734</x:v>
      </x:c>
    </x:row>
    <x:row r="448" ht="28" customHeight="1">
      <x:c r="AA448" s="1" t="str">
        <x:v>b2gold_financials</x:v>
      </x:c>
      <x:c r="AB448" s="1" t="n">
        <x:v>160</x:v>
      </x:c>
      <x:c r="AC448" s="1" t="n">
        <x:v>29</x:v>
      </x:c>
      <x:c r="AD448" s="18" t="str">
        <x:v>Losses on dilution of associate (Note 10) — (8,984)</x:v>
      </x:c>
    </x:row>
    <x:row r="449" ht="28" customHeight="1">
      <x:c r="AA449" s="1" t="str">
        <x:v>b2gold_financials</x:v>
      </x:c>
      <x:c r="AB449" s="1" t="n">
        <x:v>160</x:v>
      </x:c>
      <x:c r="AC449" s="1" t="n">
        <x:v>30</x:v>
      </x:c>
      <x:c r="AD449" s="18" t="str">
        <x:v>Other income (expense) 4,952 (8,137)</x:v>
      </x:c>
    </x:row>
    <x:row r="450" ht="28" customHeight="1">
      <x:c r="AA450" s="1" t="str">
        <x:v>b2gold_financials</x:v>
      </x:c>
      <x:c r="AB450" s="1" t="n">
        <x:v>160</x:v>
      </x:c>
      <x:c r="AC450" s="1" t="n">
        <x:v>31</x:v>
      </x:c>
      <x:c r="AD450" s="18" t="str">
        <x:v>Income (loss) from operations before taxes 976,799 (309,224)</x:v>
      </x:c>
    </x:row>
    <x:row r="451" ht="28" customHeight="1">
      <x:c r="AA451" s="1" t="str">
        <x:v>b2gold_financials</x:v>
      </x:c>
      <x:c r="AB451" s="1" t="n">
        <x:v>160</x:v>
      </x:c>
      <x:c r="AC451" s="1" t="n">
        <x:v>32</x:v>
      </x:c>
      <x:c r="AD451" s="18" t="str">
        <x:v>Current income tax, withholding and other taxes (Note 21) (694,650) (319,726)</x:v>
      </x:c>
    </x:row>
    <x:row r="452" ht="28" customHeight="1">
      <x:c r="AA452" s="1" t="str">
        <x:v>b2gold_financials</x:v>
      </x:c>
      <x:c r="AB452" s="1" t="n">
        <x:v>160</x:v>
      </x:c>
      <x:c r="AC452" s="1" t="n">
        <x:v>33</x:v>
      </x:c>
      <x:c r="AD452" s="18" t="str">
        <x:v>Deferred income tax recovery (Note 21) 144,550 2,297</x:v>
      </x:c>
    </x:row>
    <x:row r="453" ht="28" customHeight="1">
      <x:c r="AA453" s="1" t="str">
        <x:v>b2gold_financials</x:v>
      </x:c>
      <x:c r="AB453" s="1" t="n">
        <x:v>160</x:v>
      </x:c>
      <x:c r="AC453" s="1" t="n">
        <x:v>34</x:v>
      </x:c>
      <x:c r="AD453" s="18" t="str">
        <x:v>Net income (loss) $ 426,699 $ (626,653)</x:v>
      </x:c>
    </x:row>
    <x:row r="454" ht="28" customHeight="1">
      <x:c r="AA454" s="1" t="str">
        <x:v>b2gold_financials</x:v>
      </x:c>
      <x:c r="AB454" s="1" t="n">
        <x:v>160</x:v>
      </x:c>
      <x:c r="AC454" s="1" t="n">
        <x:v>35</x:v>
      </x:c>
      <x:c r="AD454" s="18" t="str">
        <x:v>Attributable to:</x:v>
      </x:c>
    </x:row>
    <x:row r="455" ht="28" customHeight="1">
      <x:c r="AA455" s="1" t="str">
        <x:v>b2gold_financials</x:v>
      </x:c>
      <x:c r="AB455" s="1" t="n">
        <x:v>160</x:v>
      </x:c>
      <x:c r="AC455" s="1" t="n">
        <x:v>36</x:v>
      </x:c>
      <x:c r="AD455" s="18" t="str">
        <x:v>Shareholders of the Company $ 401,908 $ (629,891)</x:v>
      </x:c>
    </x:row>
    <x:row r="456" ht="28" customHeight="1">
      <x:c r="AA456" s="1" t="str">
        <x:v>b2gold_financials</x:v>
      </x:c>
      <x:c r="AB456" s="1" t="n">
        <x:v>160</x:v>
      </x:c>
      <x:c r="AC456" s="1" t="n">
        <x:v>37</x:v>
      </x:c>
      <x:c r="AD456" s="18" t="str">
        <x:v>Non-controlling interests (Note 15) 24,791 3,238</x:v>
      </x:c>
    </x:row>
    <x:row r="457" ht="28" customHeight="1">
      <x:c r="AA457" s="1" t="str">
        <x:v>b2gold_financials</x:v>
      </x:c>
      <x:c r="AB457" s="1" t="n">
        <x:v>160</x:v>
      </x:c>
      <x:c r="AC457" s="1" t="n">
        <x:v>38</x:v>
      </x:c>
      <x:c r="AD457" s="18" t="str">
        <x:v>Net income (loss) $ 426,699 $ (626,653)</x:v>
      </x:c>
    </x:row>
    <x:row r="458" ht="28" customHeight="1">
      <x:c r="AA458" s="1" t="str">
        <x:v>b2gold_financials</x:v>
      </x:c>
      <x:c r="AB458" s="1" t="n">
        <x:v>160</x:v>
      </x:c>
      <x:c r="AC458" s="1" t="n">
        <x:v>39</x:v>
      </x:c>
      <x:c r="AD458" s="18" t="str">
        <x:v>Earnings (loss) per share (attributable to shareholders of the Company) (Note 14)</x:v>
      </x:c>
    </x:row>
    <x:row r="459" ht="28" customHeight="1">
      <x:c r="AA459" s="1" t="str">
        <x:v>b2gold_financials</x:v>
      </x:c>
      <x:c r="AB459" s="1" t="n">
        <x:v>160</x:v>
      </x:c>
      <x:c r="AC459" s="1" t="n">
        <x:v>40</x:v>
      </x:c>
      <x:c r="AD459" s="18" t="str">
        <x:v>Basic $ 0.30 $ (0.48)</x:v>
      </x:c>
    </x:row>
    <x:row r="460" ht="28" customHeight="1">
      <x:c r="AA460" s="1" t="str">
        <x:v>b2gold_financials</x:v>
      </x:c>
      <x:c r="AB460" s="1" t="n">
        <x:v>160</x:v>
      </x:c>
      <x:c r="AC460" s="1" t="n">
        <x:v>41</x:v>
      </x:c>
      <x:c r="AD460" s="18" t="str">
        <x:v>Diluted $ 0.28 $ (0.48)</x:v>
      </x:c>
    </x:row>
    <x:row r="461" ht="28" customHeight="1">
      <x:c r="AA461" s="1" t="str">
        <x:v>b2gold_financials</x:v>
      </x:c>
      <x:c r="AB461" s="1" t="n">
        <x:v>160</x:v>
      </x:c>
      <x:c r="AC461" s="1" t="n">
        <x:v>42</x:v>
      </x:c>
      <x:c r="AD461" s="18" t="str">
        <x:v>Weighted average number of common shares outstanding (in thousands) (Note 14)</x:v>
      </x:c>
    </x:row>
    <x:row r="462" ht="28" customHeight="1">
      <x:c r="AA462" s="1" t="str">
        <x:v>b2gold_financials</x:v>
      </x:c>
      <x:c r="AB462" s="1" t="n">
        <x:v>160</x:v>
      </x:c>
      <x:c r="AC462" s="1" t="n">
        <x:v>43</x:v>
      </x:c>
      <x:c r="AD462" s="18" t="str">
        <x:v>Basic 1,325,322 1,308,850</x:v>
      </x:c>
    </x:row>
    <x:row r="463" ht="28" customHeight="1">
      <x:c r="AA463" s="1" t="str">
        <x:v>b2gold_financials</x:v>
      </x:c>
      <x:c r="AB463" s="1" t="n">
        <x:v>160</x:v>
      </x:c>
      <x:c r="AC463" s="1" t="n">
        <x:v>44</x:v>
      </x:c>
      <x:c r="AD463" s="18" t="str">
        <x:v>Diluted 1,480,858 1,308,850</x:v>
      </x:c>
    </x:row>
    <x:row r="464" ht="28" customHeight="1">
      <x:c r="AA464" s="1" t="str">
        <x:v>b2gold_financials</x:v>
      </x:c>
      <x:c r="AB464" s="1" t="n">
        <x:v>160</x:v>
      </x:c>
      <x:c r="AC464" s="1" t="n">
        <x:v>45</x:v>
      </x:c>
      <x:c r="AD464" s="18" t="str">
        <x:v>See accompanying notes to consolidated financial statements.</x:v>
      </x:c>
    </x:row>
  </x:sheetData>
  <x:pageMargins left="0.7" right="0.7" top="0.75" bottom="0.75" header="0.3" footer="0.3"/>
</x:worksheet>
</file>